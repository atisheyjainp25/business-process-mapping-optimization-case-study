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tish\Downloads\Resume\IIT Delhi\Digital Marketing Projects\Business Process Mapping &amp; Optimization Case Study\dashboard\"/>
    </mc:Choice>
  </mc:AlternateContent>
  <xr:revisionPtr revIDLastSave="0" documentId="13_ncr:1_{1557A9B2-A526-4BAF-81BA-2C7C1A0147B4}" xr6:coauthVersionLast="47" xr6:coauthVersionMax="47" xr10:uidLastSave="{00000000-0000-0000-0000-000000000000}"/>
  <bookViews>
    <workbookView xWindow="-98" yWindow="-98" windowWidth="21795" windowHeight="12975" xr2:uid="{A59EDC6C-21BE-4327-8435-F8DBB07B83AC}"/>
  </bookViews>
  <sheets>
    <sheet name="Dashboard" sheetId="3" r:id="rId1"/>
    <sheet name="Pivots" sheetId="2" state="hidden" r:id="rId2"/>
    <sheet name="Data" sheetId="1" r:id="rId3"/>
  </sheets>
  <definedNames>
    <definedName name="_xlnm.Print_Area" localSheetId="0">Dashboard!$A$1:$O$44</definedName>
    <definedName name="Slicer_Department">#N/A</definedName>
    <definedName name="Slicer_Improvement_Opportunity">#N/A</definedName>
    <definedName name="Slicer_Process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3" l="1"/>
  <c r="J5" i="3"/>
  <c r="G5" i="3"/>
  <c r="D5" i="3"/>
  <c r="A5" i="3"/>
</calcChain>
</file>

<file path=xl/sharedStrings.xml><?xml version="1.0" encoding="utf-8"?>
<sst xmlns="http://schemas.openxmlformats.org/spreadsheetml/2006/main" count="1179" uniqueCount="206">
  <si>
    <t>Process ID</t>
  </si>
  <si>
    <t>Process Name</t>
  </si>
  <si>
    <t>Department</t>
  </si>
  <si>
    <t>Process Owner</t>
  </si>
  <si>
    <t>Activity Name</t>
  </si>
  <si>
    <t>Activity Start Time</t>
  </si>
  <si>
    <t>Activity End Time</t>
  </si>
  <si>
    <t>Activity Duration</t>
  </si>
  <si>
    <t>Resource Assigned</t>
  </si>
  <si>
    <t>Task Volume</t>
  </si>
  <si>
    <t>Tasks Completed</t>
  </si>
  <si>
    <t>Error Count</t>
  </si>
  <si>
    <t>Rework Count</t>
  </si>
  <si>
    <t>Waiting Time</t>
  </si>
  <si>
    <t>Approval Time</t>
  </si>
  <si>
    <t>Process Cost</t>
  </si>
  <si>
    <t>SLA Target</t>
  </si>
  <si>
    <t>SLA Achieved</t>
  </si>
  <si>
    <t>Customer Complaint Count</t>
  </si>
  <si>
    <t>Process Status</t>
  </si>
  <si>
    <t>Improvement Opportunity</t>
  </si>
  <si>
    <t>Cycle Time</t>
  </si>
  <si>
    <t>SLA Met</t>
  </si>
  <si>
    <t>Error Rate</t>
  </si>
  <si>
    <t>Productivity</t>
  </si>
  <si>
    <t>Group</t>
  </si>
  <si>
    <t>PR1001</t>
  </si>
  <si>
    <t>Order Fulfilment</t>
  </si>
  <si>
    <t>Operations</t>
  </si>
  <si>
    <t>N. Singh</t>
  </si>
  <si>
    <t>Dispatch</t>
  </si>
  <si>
    <t>System (Automated)</t>
  </si>
  <si>
    <t>No</t>
  </si>
  <si>
    <t>Delayed</t>
  </si>
  <si>
    <t>Training</t>
  </si>
  <si>
    <t>Total</t>
  </si>
  <si>
    <t>PR1002</t>
  </si>
  <si>
    <t>Accounts Payable</t>
  </si>
  <si>
    <t>Finance</t>
  </si>
  <si>
    <t>P. Nair</t>
  </si>
  <si>
    <t>Process Manager</t>
  </si>
  <si>
    <t>Automation</t>
  </si>
  <si>
    <t>PR1003</t>
  </si>
  <si>
    <t>Quotation Approval</t>
  </si>
  <si>
    <t>Sales</t>
  </si>
  <si>
    <t>D. Bose</t>
  </si>
  <si>
    <t>Documentation</t>
  </si>
  <si>
    <t>Junior Analyst</t>
  </si>
  <si>
    <t>Standardization</t>
  </si>
  <si>
    <t>PR1004</t>
  </si>
  <si>
    <t>K. Rao</t>
  </si>
  <si>
    <t>Data Entry</t>
  </si>
  <si>
    <t>Shared Service Team</t>
  </si>
  <si>
    <t>Yes</t>
  </si>
  <si>
    <t>At-Risk</t>
  </si>
  <si>
    <t>PR1005</t>
  </si>
  <si>
    <t>Quality Inspection</t>
  </si>
  <si>
    <t>A. Mehta</t>
  </si>
  <si>
    <t>Approval</t>
  </si>
  <si>
    <t>On-Track</t>
  </si>
  <si>
    <t>PR1006</t>
  </si>
  <si>
    <t>Query Handling</t>
  </si>
  <si>
    <t>Customer Service</t>
  </si>
  <si>
    <t>S. Khan</t>
  </si>
  <si>
    <t>No Change Needed</t>
  </si>
  <si>
    <t>PR1007</t>
  </si>
  <si>
    <t>Reconciliation</t>
  </si>
  <si>
    <t>PR1008</t>
  </si>
  <si>
    <t>Employee Onboarding</t>
  </si>
  <si>
    <t>Human Resources</t>
  </si>
  <si>
    <t>Processing</t>
  </si>
  <si>
    <t>PR1009</t>
  </si>
  <si>
    <t>Dispatch Scheduling</t>
  </si>
  <si>
    <t>M. Gupta</t>
  </si>
  <si>
    <t>PR1010</t>
  </si>
  <si>
    <t>Leave Approval</t>
  </si>
  <si>
    <t>Verification</t>
  </si>
  <si>
    <t>PR1011</t>
  </si>
  <si>
    <t>Outsourced Vendor</t>
  </si>
  <si>
    <t>PR1012</t>
  </si>
  <si>
    <t>Senior Analyst</t>
  </si>
  <si>
    <t>Process Redesign</t>
  </si>
  <si>
    <t>PR1013</t>
  </si>
  <si>
    <t>PR1014</t>
  </si>
  <si>
    <t>PR1015</t>
  </si>
  <si>
    <t>Lead Qualification</t>
  </si>
  <si>
    <t>PR1016</t>
  </si>
  <si>
    <t>PR1017</t>
  </si>
  <si>
    <t>PO Approval</t>
  </si>
  <si>
    <t>Procurement</t>
  </si>
  <si>
    <t>R. Iyer</t>
  </si>
  <si>
    <t>PR1018</t>
  </si>
  <si>
    <t>Complaint Resolution</t>
  </si>
  <si>
    <t>Review</t>
  </si>
  <si>
    <t>PR1019</t>
  </si>
  <si>
    <t>Purchase Requisition</t>
  </si>
  <si>
    <t>PR1020</t>
  </si>
  <si>
    <t>Vendor Onboarding</t>
  </si>
  <si>
    <t>PR1021</t>
  </si>
  <si>
    <t>PR1022</t>
  </si>
  <si>
    <t>Contract Processing</t>
  </si>
  <si>
    <t>PR1023</t>
  </si>
  <si>
    <t>Expense Reimbursement</t>
  </si>
  <si>
    <t>PR1024</t>
  </si>
  <si>
    <t>Resource Reallocation</t>
  </si>
  <si>
    <t>PR1025</t>
  </si>
  <si>
    <t>PR1026</t>
  </si>
  <si>
    <t>PR1027</t>
  </si>
  <si>
    <t>PR1028</t>
  </si>
  <si>
    <t>PR1029</t>
  </si>
  <si>
    <t>PR1030</t>
  </si>
  <si>
    <t>PR1031</t>
  </si>
  <si>
    <t>PR1032</t>
  </si>
  <si>
    <t>PR1033</t>
  </si>
  <si>
    <t>Payroll Processing</t>
  </si>
  <si>
    <t>PR1034</t>
  </si>
  <si>
    <t>PR1035</t>
  </si>
  <si>
    <t>PR1036</t>
  </si>
  <si>
    <t>PR1037</t>
  </si>
  <si>
    <t>PR1038</t>
  </si>
  <si>
    <t>PR1039</t>
  </si>
  <si>
    <t>PR1040</t>
  </si>
  <si>
    <t>PR1041</t>
  </si>
  <si>
    <t>PR1042</t>
  </si>
  <si>
    <t>Invoice Processing</t>
  </si>
  <si>
    <t>PR1043</t>
  </si>
  <si>
    <t>PR1044</t>
  </si>
  <si>
    <t>PR1045</t>
  </si>
  <si>
    <t>PR1046</t>
  </si>
  <si>
    <t>PR1047</t>
  </si>
  <si>
    <t>PR1048</t>
  </si>
  <si>
    <t>PR1049</t>
  </si>
  <si>
    <t>PR1050</t>
  </si>
  <si>
    <t>PR1051</t>
  </si>
  <si>
    <t>PR1052</t>
  </si>
  <si>
    <t>Refund Processing</t>
  </si>
  <si>
    <t>PR1053</t>
  </si>
  <si>
    <t>PR1054</t>
  </si>
  <si>
    <t>PR1055</t>
  </si>
  <si>
    <t>PR1056</t>
  </si>
  <si>
    <t>PR1057</t>
  </si>
  <si>
    <t>PR1058</t>
  </si>
  <si>
    <t>PR1059</t>
  </si>
  <si>
    <t>PR1060</t>
  </si>
  <si>
    <t>PR1061</t>
  </si>
  <si>
    <t>PR1062</t>
  </si>
  <si>
    <t>PR1063</t>
  </si>
  <si>
    <t>PR1064</t>
  </si>
  <si>
    <t>PR1065</t>
  </si>
  <si>
    <t>PR1066</t>
  </si>
  <si>
    <t>PR1067</t>
  </si>
  <si>
    <t>PR1068</t>
  </si>
  <si>
    <t>PR1069</t>
  </si>
  <si>
    <t>PR1070</t>
  </si>
  <si>
    <t>PR1071</t>
  </si>
  <si>
    <t>PR1072</t>
  </si>
  <si>
    <t>PR1073</t>
  </si>
  <si>
    <t>PR1074</t>
  </si>
  <si>
    <t>PR1075</t>
  </si>
  <si>
    <t>PR1076</t>
  </si>
  <si>
    <t>PR1077</t>
  </si>
  <si>
    <t>PR1078</t>
  </si>
  <si>
    <t>PR1079</t>
  </si>
  <si>
    <t>PR1080</t>
  </si>
  <si>
    <t>PR1081</t>
  </si>
  <si>
    <t>PR1082</t>
  </si>
  <si>
    <t>PR1083</t>
  </si>
  <si>
    <t>PR1084</t>
  </si>
  <si>
    <t>PR1085</t>
  </si>
  <si>
    <t>PR1086</t>
  </si>
  <si>
    <t>PR1087</t>
  </si>
  <si>
    <t>PR1088</t>
  </si>
  <si>
    <t>PR1089</t>
  </si>
  <si>
    <t>PR1090</t>
  </si>
  <si>
    <t>PR1091</t>
  </si>
  <si>
    <t>PR1092</t>
  </si>
  <si>
    <t>PR1093</t>
  </si>
  <si>
    <t>PR1094</t>
  </si>
  <si>
    <t>PR1095</t>
  </si>
  <si>
    <t>PR1096</t>
  </si>
  <si>
    <t>PR1097</t>
  </si>
  <si>
    <t>PR1098</t>
  </si>
  <si>
    <t>PR1099</t>
  </si>
  <si>
    <t>PR1100</t>
  </si>
  <si>
    <t>PR1101</t>
  </si>
  <si>
    <t>PR1102</t>
  </si>
  <si>
    <t>PR1103</t>
  </si>
  <si>
    <t>PR1104</t>
  </si>
  <si>
    <t>PR1105</t>
  </si>
  <si>
    <t>PR1106</t>
  </si>
  <si>
    <t>PR1107</t>
  </si>
  <si>
    <t>PR1108</t>
  </si>
  <si>
    <t>PR1109</t>
  </si>
  <si>
    <t>PR1110</t>
  </si>
  <si>
    <t>Row Labels</t>
  </si>
  <si>
    <t>Grand Total</t>
  </si>
  <si>
    <t>Avg Cycle Time</t>
  </si>
  <si>
    <t>SLA Achievement</t>
  </si>
  <si>
    <t>Avg Process Cost</t>
  </si>
  <si>
    <t>Avg Error Rate</t>
  </si>
  <si>
    <t>Avg Productivity</t>
  </si>
  <si>
    <t>Avg Waiting</t>
  </si>
  <si>
    <t>Total Cost</t>
  </si>
  <si>
    <t>SLA %</t>
  </si>
  <si>
    <t>Business Process Mapping &amp; Optimization Dashboard</t>
  </si>
  <si>
    <t>As-Is performance, bottlenecks, cost &amp; SLA  -  interactive: use the slicers on the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</si>
</sst>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 min&quot;"/>
    <numFmt numFmtId="165" formatCode="0.0%"/>
    <numFmt numFmtId="166" formatCode="\₹#,##0"/>
  </numFmts>
  <fonts count="9" x14ac:knownFonts="1">
    <font>
      <sz val="11"/>
      <color theme="1"/>
      <name val="Aptos Narrow"/>
      <family val="2"/>
      <scheme val="minor"/>
    </font>
    <font>
      <b/>
      <sz val="16"/>
      <color rgb="FFFFFFFF"/>
      <name val="Aptos Narrow"/>
      <family val="2"/>
      <scheme val="minor"/>
    </font>
    <font>
      <i/>
      <sz val="9"/>
      <color rgb="FF5A6472"/>
      <name val="Aptos Narrow"/>
      <family val="2"/>
      <scheme val="minor"/>
    </font>
    <font>
      <b/>
      <sz val="8.5"/>
      <color rgb="FF5A6472"/>
      <name val="Aptos Narrow"/>
      <family val="2"/>
      <scheme val="minor"/>
    </font>
    <font>
      <b/>
      <sz val="16"/>
      <color rgb="FF2E86AB"/>
      <name val="Aptos Narrow"/>
      <family val="2"/>
      <scheme val="minor"/>
    </font>
    <font>
      <b/>
      <sz val="16"/>
      <color rgb="FF5FB49C"/>
      <name val="Aptos Narrow"/>
      <family val="2"/>
      <scheme val="minor"/>
    </font>
    <font>
      <b/>
      <sz val="16"/>
      <color rgb="FF1F3A5F"/>
      <name val="Aptos Narrow"/>
      <family val="2"/>
      <scheme val="minor"/>
    </font>
    <font>
      <b/>
      <sz val="16"/>
      <color rgb="FFB4436C"/>
      <name val="Aptos Narrow"/>
      <family val="2"/>
      <scheme val="minor"/>
    </font>
    <font>
      <b/>
      <sz val="16"/>
      <color rgb="FF6A4C93"/>
      <name val="Aptos Narrow"/>
      <family val="2"/>
      <scheme val="minor"/>
    </font>
  </fonts>
  <fills count="5">
    <fill>
      <patternFill patternType="none"/>
    </fill>
    <fill>
      <patternFill patternType="gray125"/>
    </fill>
    <fill>
      <patternFill patternType="solid">
        <fgColor rgb="FFEEF1F5"/>
        <bgColor indexed="64"/>
      </patternFill>
    </fill>
    <fill>
      <patternFill patternType="solid">
        <fgColor rgb="FF1F3A5F"/>
        <bgColor indexed="64"/>
      </patternFill>
    </fill>
    <fill>
      <patternFill patternType="solid">
        <fgColor rgb="FFFFFFFF"/>
        <bgColor indexed="64"/>
      </patternFill>
    </fill>
  </fills>
  <borders count="7">
    <border>
      <left/>
      <right/>
      <top/>
      <bottom/>
      <diagonal/>
    </border>
    <border>
      <left style="thin">
        <color rgb="FFE3E7EC"/>
      </left>
      <right/>
      <top style="thin">
        <color rgb="FFE3E7EC"/>
      </top>
      <bottom/>
      <diagonal/>
    </border>
    <border>
      <left/>
      <right/>
      <top style="thin">
        <color rgb="FFE3E7EC"/>
      </top>
      <bottom/>
      <diagonal/>
    </border>
    <border>
      <left style="thin">
        <color rgb="FFE3E7EC"/>
      </left>
      <right/>
      <top/>
      <bottom style="thin">
        <color rgb="FFE3E7EC"/>
      </bottom>
      <diagonal/>
    </border>
    <border>
      <left/>
      <right/>
      <top/>
      <bottom style="thin">
        <color rgb="FFE3E7EC"/>
      </bottom>
      <diagonal/>
    </border>
    <border>
      <left/>
      <right style="thin">
        <color rgb="FFE3E7EC"/>
      </right>
      <top style="thin">
        <color rgb="FFE3E7EC"/>
      </top>
      <bottom/>
      <diagonal/>
    </border>
    <border>
      <left/>
      <right style="thin">
        <color rgb="FFE3E7EC"/>
      </right>
      <top/>
      <bottom style="thin">
        <color rgb="FFE3E7EC"/>
      </bottom>
      <diagonal/>
    </border>
  </borders>
  <cellStyleXfs count="1">
    <xf numFmtId="0" fontId="0" fillId="0" borderId="0"/>
  </cellStyleXfs>
  <cellXfs count="22">
    <xf numFmtId="0" fontId="0" fillId="0" borderId="0" xfId="0"/>
    <xf numFmtId="2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2" borderId="0" xfId="0" applyFill="1"/>
    <xf numFmtId="0" fontId="3" fillId="4" borderId="1" xfId="0" applyFont="1" applyFill="1" applyBorder="1" applyAlignment="1">
      <alignment horizontal="left" indent="1"/>
    </xf>
    <xf numFmtId="0" fontId="0" fillId="4" borderId="2" xfId="0" applyFill="1" applyBorder="1" applyAlignment="1">
      <alignment horizontal="left" indent="1"/>
    </xf>
    <xf numFmtId="0" fontId="0" fillId="4" borderId="5" xfId="0" applyFill="1" applyBorder="1" applyAlignment="1">
      <alignment horizontal="left" indent="1"/>
    </xf>
    <xf numFmtId="165" fontId="8" fillId="4" borderId="3" xfId="0" applyNumberFormat="1" applyFont="1" applyFill="1" applyBorder="1" applyAlignment="1">
      <alignment horizontal="left" indent="1"/>
    </xf>
    <xf numFmtId="0" fontId="0" fillId="4" borderId="4" xfId="0" applyFill="1" applyBorder="1" applyAlignment="1">
      <alignment horizontal="left" indent="1"/>
    </xf>
    <xf numFmtId="0" fontId="0" fillId="4" borderId="6" xfId="0" applyFill="1" applyBorder="1" applyAlignment="1">
      <alignment horizontal="left" indent="1"/>
    </xf>
    <xf numFmtId="0" fontId="1" fillId="3" borderId="0" xfId="0" applyFont="1" applyFill="1" applyAlignment="1">
      <alignment horizontal="left" vertical="center" indent="1"/>
    </xf>
    <xf numFmtId="0" fontId="0" fillId="2" borderId="0" xfId="0" applyFill="1" applyAlignment="1">
      <alignment horizontal="left" vertical="center" indent="1"/>
    </xf>
    <xf numFmtId="0" fontId="2" fillId="2" borderId="0" xfId="0" applyFont="1" applyFill="1" applyAlignment="1">
      <alignment horizontal="left" indent="1"/>
    </xf>
    <xf numFmtId="0" fontId="0" fillId="2" borderId="0" xfId="0" applyFill="1" applyAlignment="1">
      <alignment horizontal="left" indent="1"/>
    </xf>
    <xf numFmtId="164" fontId="4" fillId="4" borderId="3" xfId="0" applyNumberFormat="1" applyFont="1" applyFill="1" applyBorder="1" applyAlignment="1">
      <alignment horizontal="left" indent="1"/>
    </xf>
    <xf numFmtId="165" fontId="5" fillId="4" borderId="3" xfId="0" applyNumberFormat="1" applyFont="1" applyFill="1" applyBorder="1" applyAlignment="1">
      <alignment horizontal="left" indent="1"/>
    </xf>
    <xf numFmtId="166" fontId="6" fillId="4" borderId="3" xfId="0" applyNumberFormat="1" applyFont="1" applyFill="1" applyBorder="1" applyAlignment="1">
      <alignment horizontal="left" indent="1"/>
    </xf>
    <xf numFmtId="165" fontId="7" fillId="4" borderId="3" xfId="0" applyNumberFormat="1" applyFont="1" applyFill="1" applyBorder="1" applyAlignment="1">
      <alignment horizontal="left" indent="1"/>
    </xf>
  </cellXfs>
  <cellStyles count="1">
    <cellStyle name="Normal" xfId="0" builtinId="0"/>
  </cellStyles>
  <dxfs count="2">
    <dxf>
      <numFmt numFmtId="25" formatCode="h:mm"/>
    </dxf>
    <dxf>
      <numFmt numFmtId="25" formatCode="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[Business_Process_Optimization_Dashboard.xlsx]Pivots!pt0</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Avg Cycle Time by Department</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rgbClr val="2E86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Pivots!$J$1</c:f>
              <c:strCache>
                <c:ptCount val="1"/>
                <c:pt idx="0">
                  <c:v>Total</c:v>
                </c:pt>
              </c:strCache>
            </c:strRef>
          </c:tx>
          <c:spPr>
            <a:solidFill>
              <a:srgbClr val="2E86AB"/>
            </a:solidFill>
            <a:ln>
              <a:noFill/>
            </a:ln>
            <a:effectLst/>
          </c:spPr>
          <c:invertIfNegative val="0"/>
          <c:cat>
            <c:strRef>
              <c:f>Pivots!$I$2:$I$8</c:f>
              <c:strCache>
                <c:ptCount val="6"/>
                <c:pt idx="0">
                  <c:v>Customer Service</c:v>
                </c:pt>
                <c:pt idx="1">
                  <c:v>Finance</c:v>
                </c:pt>
                <c:pt idx="2">
                  <c:v>Human Resources</c:v>
                </c:pt>
                <c:pt idx="3">
                  <c:v>Operations</c:v>
                </c:pt>
                <c:pt idx="4">
                  <c:v>Procurement</c:v>
                </c:pt>
                <c:pt idx="5">
                  <c:v>Sales</c:v>
                </c:pt>
              </c:strCache>
            </c:strRef>
          </c:cat>
          <c:val>
            <c:numRef>
              <c:f>Pivots!$J$2:$J$8</c:f>
              <c:numCache>
                <c:formatCode>General</c:formatCode>
                <c:ptCount val="6"/>
                <c:pt idx="0">
                  <c:v>193.9</c:v>
                </c:pt>
                <c:pt idx="1">
                  <c:v>203.6875</c:v>
                </c:pt>
                <c:pt idx="2">
                  <c:v>193.53333333333333</c:v>
                </c:pt>
                <c:pt idx="3">
                  <c:v>158.63636363636363</c:v>
                </c:pt>
                <c:pt idx="4">
                  <c:v>187</c:v>
                </c:pt>
                <c:pt idx="5">
                  <c:v>192.5625</c:v>
                </c:pt>
              </c:numCache>
            </c:numRef>
          </c:val>
          <c:extLst>
            <c:ext xmlns:c16="http://schemas.microsoft.com/office/drawing/2014/chart" uri="{C3380CC4-5D6E-409C-BE32-E72D297353CC}">
              <c16:uniqueId val="{00000000-7FA0-4F53-BA35-26A2D0C415E1}"/>
            </c:ext>
          </c:extLst>
        </c:ser>
        <c:dLbls>
          <c:showLegendKey val="0"/>
          <c:showVal val="0"/>
          <c:showCatName val="0"/>
          <c:showSerName val="0"/>
          <c:showPercent val="0"/>
          <c:showBubbleSize val="0"/>
        </c:dLbls>
        <c:gapWidth val="219"/>
        <c:axId val="1941303360"/>
        <c:axId val="1941298560"/>
      </c:barChart>
      <c:catAx>
        <c:axId val="194130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298560"/>
        <c:crosses val="autoZero"/>
        <c:auto val="1"/>
        <c:lblAlgn val="ctr"/>
        <c:lblOffset val="100"/>
        <c:noMultiLvlLbl val="0"/>
      </c:catAx>
      <c:valAx>
        <c:axId val="194129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30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[Business_Process_Optimization_Dashboard.xlsx]Pivots!pt1</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Avg Waiting Time by Activity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rgbClr val="F781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Pivots!$J$26</c:f>
              <c:strCache>
                <c:ptCount val="1"/>
                <c:pt idx="0">
                  <c:v>Total</c:v>
                </c:pt>
              </c:strCache>
            </c:strRef>
          </c:tx>
          <c:spPr>
            <a:solidFill>
              <a:srgbClr val="F78154"/>
            </a:solidFill>
            <a:ln>
              <a:noFill/>
            </a:ln>
            <a:effectLst/>
          </c:spPr>
          <c:invertIfNegative val="0"/>
          <c:cat>
            <c:strRef>
              <c:f>Pivots!$I$27:$I$35</c:f>
              <c:strCache>
                <c:ptCount val="8"/>
                <c:pt idx="0">
                  <c:v>Approval</c:v>
                </c:pt>
                <c:pt idx="1">
                  <c:v>Data Entry</c:v>
                </c:pt>
                <c:pt idx="2">
                  <c:v>Dispatch</c:v>
                </c:pt>
                <c:pt idx="3">
                  <c:v>Documentation</c:v>
                </c:pt>
                <c:pt idx="4">
                  <c:v>Processing</c:v>
                </c:pt>
                <c:pt idx="5">
                  <c:v>Reconciliation</c:v>
                </c:pt>
                <c:pt idx="6">
                  <c:v>Review</c:v>
                </c:pt>
                <c:pt idx="7">
                  <c:v>Verification</c:v>
                </c:pt>
              </c:strCache>
            </c:strRef>
          </c:cat>
          <c:val>
            <c:numRef>
              <c:f>Pivots!$J$27:$J$35</c:f>
              <c:numCache>
                <c:formatCode>General</c:formatCode>
                <c:ptCount val="8"/>
                <c:pt idx="0">
                  <c:v>59.666666666666664</c:v>
                </c:pt>
                <c:pt idx="1">
                  <c:v>66.8</c:v>
                </c:pt>
                <c:pt idx="2">
                  <c:v>61.8125</c:v>
                </c:pt>
                <c:pt idx="3">
                  <c:v>63.75</c:v>
                </c:pt>
                <c:pt idx="4">
                  <c:v>61.733333333333334</c:v>
                </c:pt>
                <c:pt idx="5">
                  <c:v>62.454545454545453</c:v>
                </c:pt>
                <c:pt idx="6">
                  <c:v>63.230769230769234</c:v>
                </c:pt>
                <c:pt idx="7">
                  <c:v>65.857142857142861</c:v>
                </c:pt>
              </c:numCache>
            </c:numRef>
          </c:val>
          <c:extLst>
            <c:ext xmlns:c16="http://schemas.microsoft.com/office/drawing/2014/chart" uri="{C3380CC4-5D6E-409C-BE32-E72D297353CC}">
              <c16:uniqueId val="{00000000-2294-4BF3-B76F-DBEECC2397CE}"/>
            </c:ext>
          </c:extLst>
        </c:ser>
        <c:dLbls>
          <c:showLegendKey val="0"/>
          <c:showVal val="0"/>
          <c:showCatName val="0"/>
          <c:showSerName val="0"/>
          <c:showPercent val="0"/>
          <c:showBubbleSize val="0"/>
        </c:dLbls>
        <c:gapWidth val="182"/>
        <c:axId val="1941305760"/>
        <c:axId val="1941304800"/>
      </c:barChart>
      <c:catAx>
        <c:axId val="194130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304800"/>
        <c:crosses val="autoZero"/>
        <c:auto val="1"/>
        <c:lblAlgn val="ctr"/>
        <c:lblOffset val="100"/>
        <c:noMultiLvlLbl val="0"/>
      </c:catAx>
      <c:valAx>
        <c:axId val="1941304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30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[Business_Process_Optimization_Dashboard.xlsx]Pivots!pt2</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Total Process Cost by Department</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F3A5F"/>
          </a:solidFill>
          <a:ln w="19050">
            <a:solidFill>
              <a:schemeClr val="lt1"/>
            </a:solidFill>
          </a:ln>
          <a:effectLst/>
        </c:spPr>
      </c:pivotFmt>
      <c:pivotFmt>
        <c:idx val="2"/>
        <c:spPr>
          <a:solidFill>
            <a:srgbClr val="2E86AB"/>
          </a:solidFill>
          <a:ln w="19050">
            <a:solidFill>
              <a:schemeClr val="lt1"/>
            </a:solidFill>
          </a:ln>
          <a:effectLst/>
        </c:spPr>
      </c:pivotFmt>
      <c:pivotFmt>
        <c:idx val="3"/>
        <c:spPr>
          <a:solidFill>
            <a:srgbClr val="5FB49C"/>
          </a:solidFill>
          <a:ln w="19050">
            <a:solidFill>
              <a:schemeClr val="lt1"/>
            </a:solidFill>
          </a:ln>
          <a:effectLst/>
        </c:spPr>
      </c:pivotFmt>
      <c:pivotFmt>
        <c:idx val="4"/>
        <c:spPr>
          <a:solidFill>
            <a:srgbClr val="F2C14E"/>
          </a:solidFill>
          <a:ln w="19050">
            <a:solidFill>
              <a:schemeClr val="lt1"/>
            </a:solidFill>
          </a:ln>
          <a:effectLst/>
        </c:spPr>
      </c:pivotFmt>
      <c:pivotFmt>
        <c:idx val="5"/>
        <c:spPr>
          <a:solidFill>
            <a:srgbClr val="F78154"/>
          </a:solidFill>
          <a:ln w="19050">
            <a:solidFill>
              <a:schemeClr val="lt1"/>
            </a:solidFill>
          </a:ln>
          <a:effectLst/>
        </c:spPr>
      </c:pivotFmt>
      <c:pivotFmt>
        <c:idx val="6"/>
        <c:spPr>
          <a:solidFill>
            <a:srgbClr val="B4436C"/>
          </a:solidFill>
          <a:ln w="19050">
            <a:solidFill>
              <a:schemeClr val="lt1"/>
            </a:solidFill>
          </a:ln>
          <a:effectLst/>
        </c:spPr>
      </c:pivotFmt>
    </c:pivotFmts>
    <c:plotArea>
      <c:layout/>
      <c:doughnutChart>
        <c:varyColors val="1"/>
        <c:ser>
          <c:idx val="0"/>
          <c:order val="0"/>
          <c:tx>
            <c:strRef>
              <c:f>Pivots!$J$51</c:f>
              <c:strCache>
                <c:ptCount val="1"/>
                <c:pt idx="0">
                  <c:v>Total</c:v>
                </c:pt>
              </c:strCache>
            </c:strRef>
          </c:tx>
          <c:dPt>
            <c:idx val="0"/>
            <c:bubble3D val="0"/>
            <c:spPr>
              <a:solidFill>
                <a:srgbClr val="1F3A5F"/>
              </a:solidFill>
              <a:ln w="19050">
                <a:solidFill>
                  <a:schemeClr val="lt1"/>
                </a:solidFill>
              </a:ln>
              <a:effectLst/>
            </c:spPr>
            <c:extLst>
              <c:ext xmlns:c16="http://schemas.microsoft.com/office/drawing/2014/chart" uri="{C3380CC4-5D6E-409C-BE32-E72D297353CC}">
                <c16:uniqueId val="{00000001-98ED-40B7-BA55-4A75E59B29AD}"/>
              </c:ext>
            </c:extLst>
          </c:dPt>
          <c:dPt>
            <c:idx val="1"/>
            <c:bubble3D val="0"/>
            <c:spPr>
              <a:solidFill>
                <a:srgbClr val="2E86AB"/>
              </a:solidFill>
              <a:ln w="19050">
                <a:solidFill>
                  <a:schemeClr val="lt1"/>
                </a:solidFill>
              </a:ln>
              <a:effectLst/>
            </c:spPr>
            <c:extLst>
              <c:ext xmlns:c16="http://schemas.microsoft.com/office/drawing/2014/chart" uri="{C3380CC4-5D6E-409C-BE32-E72D297353CC}">
                <c16:uniqueId val="{00000002-98ED-40B7-BA55-4A75E59B29AD}"/>
              </c:ext>
            </c:extLst>
          </c:dPt>
          <c:dPt>
            <c:idx val="2"/>
            <c:bubble3D val="0"/>
            <c:spPr>
              <a:solidFill>
                <a:srgbClr val="5FB49C"/>
              </a:solidFill>
              <a:ln w="19050">
                <a:solidFill>
                  <a:schemeClr val="lt1"/>
                </a:solidFill>
              </a:ln>
              <a:effectLst/>
            </c:spPr>
            <c:extLst>
              <c:ext xmlns:c16="http://schemas.microsoft.com/office/drawing/2014/chart" uri="{C3380CC4-5D6E-409C-BE32-E72D297353CC}">
                <c16:uniqueId val="{00000003-98ED-40B7-BA55-4A75E59B29AD}"/>
              </c:ext>
            </c:extLst>
          </c:dPt>
          <c:dPt>
            <c:idx val="3"/>
            <c:bubble3D val="0"/>
            <c:spPr>
              <a:solidFill>
                <a:srgbClr val="F2C14E"/>
              </a:solidFill>
              <a:ln w="19050">
                <a:solidFill>
                  <a:schemeClr val="lt1"/>
                </a:solidFill>
              </a:ln>
              <a:effectLst/>
            </c:spPr>
            <c:extLst>
              <c:ext xmlns:c16="http://schemas.microsoft.com/office/drawing/2014/chart" uri="{C3380CC4-5D6E-409C-BE32-E72D297353CC}">
                <c16:uniqueId val="{00000004-98ED-40B7-BA55-4A75E59B29AD}"/>
              </c:ext>
            </c:extLst>
          </c:dPt>
          <c:dPt>
            <c:idx val="4"/>
            <c:bubble3D val="0"/>
            <c:spPr>
              <a:solidFill>
                <a:srgbClr val="F78154"/>
              </a:solidFill>
              <a:ln w="19050">
                <a:solidFill>
                  <a:schemeClr val="lt1"/>
                </a:solidFill>
              </a:ln>
              <a:effectLst/>
            </c:spPr>
            <c:extLst>
              <c:ext xmlns:c16="http://schemas.microsoft.com/office/drawing/2014/chart" uri="{C3380CC4-5D6E-409C-BE32-E72D297353CC}">
                <c16:uniqueId val="{00000005-98ED-40B7-BA55-4A75E59B29AD}"/>
              </c:ext>
            </c:extLst>
          </c:dPt>
          <c:dPt>
            <c:idx val="5"/>
            <c:bubble3D val="0"/>
            <c:spPr>
              <a:solidFill>
                <a:srgbClr val="B4436C"/>
              </a:solidFill>
              <a:ln w="19050">
                <a:solidFill>
                  <a:schemeClr val="lt1"/>
                </a:solidFill>
              </a:ln>
              <a:effectLst/>
            </c:spPr>
            <c:extLst>
              <c:ext xmlns:c16="http://schemas.microsoft.com/office/drawing/2014/chart" uri="{C3380CC4-5D6E-409C-BE32-E72D297353CC}">
                <c16:uniqueId val="{00000006-98ED-40B7-BA55-4A75E59B29AD}"/>
              </c:ext>
            </c:extLst>
          </c:dPt>
          <c:cat>
            <c:strRef>
              <c:f>Pivots!$I$52:$I$58</c:f>
              <c:strCache>
                <c:ptCount val="6"/>
                <c:pt idx="0">
                  <c:v>Customer Service</c:v>
                </c:pt>
                <c:pt idx="1">
                  <c:v>Finance</c:v>
                </c:pt>
                <c:pt idx="2">
                  <c:v>Human Resources</c:v>
                </c:pt>
                <c:pt idx="3">
                  <c:v>Operations</c:v>
                </c:pt>
                <c:pt idx="4">
                  <c:v>Procurement</c:v>
                </c:pt>
                <c:pt idx="5">
                  <c:v>Sales</c:v>
                </c:pt>
              </c:strCache>
            </c:strRef>
          </c:cat>
          <c:val>
            <c:numRef>
              <c:f>Pivots!$J$52:$J$58</c:f>
              <c:numCache>
                <c:formatCode>General</c:formatCode>
                <c:ptCount val="6"/>
                <c:pt idx="0">
                  <c:v>24971</c:v>
                </c:pt>
                <c:pt idx="1">
                  <c:v>21684</c:v>
                </c:pt>
                <c:pt idx="2">
                  <c:v>19021</c:v>
                </c:pt>
                <c:pt idx="3">
                  <c:v>20766</c:v>
                </c:pt>
                <c:pt idx="4">
                  <c:v>26470</c:v>
                </c:pt>
                <c:pt idx="5">
                  <c:v>17718</c:v>
                </c:pt>
              </c:numCache>
            </c:numRef>
          </c:val>
          <c:extLst>
            <c:ext xmlns:c16="http://schemas.microsoft.com/office/drawing/2014/chart" uri="{C3380CC4-5D6E-409C-BE32-E72D297353CC}">
              <c16:uniqueId val="{00000000-98ED-40B7-BA55-4A75E59B29A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[Business_Process_Optimization_Dashboard.xlsx]Pivots!pt3</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SLA Achievement % by Department</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rgbClr val="5FB4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Pivots!$J$76</c:f>
              <c:strCache>
                <c:ptCount val="1"/>
                <c:pt idx="0">
                  <c:v>Total</c:v>
                </c:pt>
              </c:strCache>
            </c:strRef>
          </c:tx>
          <c:spPr>
            <a:solidFill>
              <a:srgbClr val="5FB49C"/>
            </a:solidFill>
            <a:ln>
              <a:noFill/>
            </a:ln>
            <a:effectLst/>
          </c:spPr>
          <c:invertIfNegative val="0"/>
          <c:cat>
            <c:strRef>
              <c:f>Pivots!$I$77:$I$83</c:f>
              <c:strCache>
                <c:ptCount val="6"/>
                <c:pt idx="0">
                  <c:v>Customer Service</c:v>
                </c:pt>
                <c:pt idx="1">
                  <c:v>Finance</c:v>
                </c:pt>
                <c:pt idx="2">
                  <c:v>Human Resources</c:v>
                </c:pt>
                <c:pt idx="3">
                  <c:v>Operations</c:v>
                </c:pt>
                <c:pt idx="4">
                  <c:v>Procurement</c:v>
                </c:pt>
                <c:pt idx="5">
                  <c:v>Sales</c:v>
                </c:pt>
              </c:strCache>
            </c:strRef>
          </c:cat>
          <c:val>
            <c:numRef>
              <c:f>Pivots!$J$77:$J$83</c:f>
              <c:numCache>
                <c:formatCode>General</c:formatCode>
                <c:ptCount val="6"/>
                <c:pt idx="0">
                  <c:v>0.35</c:v>
                </c:pt>
                <c:pt idx="1">
                  <c:v>0.375</c:v>
                </c:pt>
                <c:pt idx="2">
                  <c:v>0.4</c:v>
                </c:pt>
                <c:pt idx="3">
                  <c:v>0.72727272727272729</c:v>
                </c:pt>
                <c:pt idx="4">
                  <c:v>0.52380952380952384</c:v>
                </c:pt>
                <c:pt idx="5">
                  <c:v>0.5</c:v>
                </c:pt>
              </c:numCache>
            </c:numRef>
          </c:val>
          <c:extLst>
            <c:ext xmlns:c16="http://schemas.microsoft.com/office/drawing/2014/chart" uri="{C3380CC4-5D6E-409C-BE32-E72D297353CC}">
              <c16:uniqueId val="{00000000-B970-43C0-A3DF-04F7C8BACFAF}"/>
            </c:ext>
          </c:extLst>
        </c:ser>
        <c:dLbls>
          <c:showLegendKey val="0"/>
          <c:showVal val="0"/>
          <c:showCatName val="0"/>
          <c:showSerName val="0"/>
          <c:showPercent val="0"/>
          <c:showBubbleSize val="0"/>
        </c:dLbls>
        <c:gapWidth val="219"/>
        <c:axId val="2096191872"/>
        <c:axId val="2096192352"/>
      </c:barChart>
      <c:catAx>
        <c:axId val="209619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192352"/>
        <c:crosses val="autoZero"/>
        <c:auto val="1"/>
        <c:lblAlgn val="ctr"/>
        <c:lblOffset val="100"/>
        <c:noMultiLvlLbl val="0"/>
      </c:catAx>
      <c:valAx>
        <c:axId val="209619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19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463550</xdr:colOff>
      <xdr:row>5</xdr:row>
      <xdr:rowOff>1588</xdr:rowOff>
    </xdr:from>
    <xdr:to>
      <xdr:col>10</xdr:col>
      <xdr:colOff>222250</xdr:colOff>
      <xdr:row>20</xdr:row>
      <xdr:rowOff>85725</xdr:rowOff>
    </xdr:to>
    <xdr:graphicFrame macro="">
      <xdr:nvGraphicFramePr>
        <xdr:cNvPr id="2" name="Chart 1">
          <a:extLst>
            <a:ext uri="{FF2B5EF4-FFF2-40B4-BE49-F238E27FC236}">
              <a16:creationId xmlns:a16="http://schemas.microsoft.com/office/drawing/2014/main" id="{B06D3F8B-6F57-3DC4-E6F3-EBC6C03AA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233362</xdr:colOff>
      <xdr:row>4</xdr:row>
      <xdr:rowOff>349251</xdr:rowOff>
    </xdr:from>
    <xdr:to>
      <xdr:col>17</xdr:col>
      <xdr:colOff>639762</xdr:colOff>
      <xdr:row>20</xdr:row>
      <xdr:rowOff>80963</xdr:rowOff>
    </xdr:to>
    <xdr:graphicFrame macro="">
      <xdr:nvGraphicFramePr>
        <xdr:cNvPr id="3" name="Chart 2">
          <a:extLst>
            <a:ext uri="{FF2B5EF4-FFF2-40B4-BE49-F238E27FC236}">
              <a16:creationId xmlns:a16="http://schemas.microsoft.com/office/drawing/2014/main" id="{6831841C-3926-3A27-E989-B4A7A79B3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444500</xdr:colOff>
      <xdr:row>20</xdr:row>
      <xdr:rowOff>77787</xdr:rowOff>
    </xdr:from>
    <xdr:to>
      <xdr:col>10</xdr:col>
      <xdr:colOff>203200</xdr:colOff>
      <xdr:row>35</xdr:row>
      <xdr:rowOff>80962</xdr:rowOff>
    </xdr:to>
    <xdr:graphicFrame macro="">
      <xdr:nvGraphicFramePr>
        <xdr:cNvPr id="4" name="Chart 3">
          <a:extLst>
            <a:ext uri="{FF2B5EF4-FFF2-40B4-BE49-F238E27FC236}">
              <a16:creationId xmlns:a16="http://schemas.microsoft.com/office/drawing/2014/main" id="{78C5C0FD-4D99-9A49-78FD-5DCC85990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228600</xdr:colOff>
      <xdr:row>20</xdr:row>
      <xdr:rowOff>82550</xdr:rowOff>
    </xdr:from>
    <xdr:to>
      <xdr:col>17</xdr:col>
      <xdr:colOff>635000</xdr:colOff>
      <xdr:row>35</xdr:row>
      <xdr:rowOff>85725</xdr:rowOff>
    </xdr:to>
    <xdr:graphicFrame macro="">
      <xdr:nvGraphicFramePr>
        <xdr:cNvPr id="5" name="Chart 4">
          <a:extLst>
            <a:ext uri="{FF2B5EF4-FFF2-40B4-BE49-F238E27FC236}">
              <a16:creationId xmlns:a16="http://schemas.microsoft.com/office/drawing/2014/main" id="{2B74280F-6F1E-A86A-C4CD-C974BA9E2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23</xdr:row>
      <xdr:rowOff>23813</xdr:rowOff>
    </xdr:from>
    <xdr:to>
      <xdr:col>2</xdr:col>
      <xdr:colOff>457200</xdr:colOff>
      <xdr:row>34</xdr:row>
      <xdr:rowOff>28576</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B6858779-506A-DB40-A3D0-A87ED9BA5F6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4400551"/>
              <a:ext cx="1828800" cy="1995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119063</xdr:rowOff>
    </xdr:from>
    <xdr:to>
      <xdr:col>2</xdr:col>
      <xdr:colOff>457200</xdr:colOff>
      <xdr:row>23</xdr:row>
      <xdr:rowOff>9526</xdr:rowOff>
    </xdr:to>
    <mc:AlternateContent xmlns:mc="http://schemas.openxmlformats.org/markup-compatibility/2006">
      <mc:Choice xmlns:a14="http://schemas.microsoft.com/office/drawing/2010/main" Requires="a14">
        <xdr:graphicFrame macro="">
          <xdr:nvGraphicFramePr>
            <xdr:cNvPr id="7" name="Process Status">
              <a:extLst>
                <a:ext uri="{FF2B5EF4-FFF2-40B4-BE49-F238E27FC236}">
                  <a16:creationId xmlns:a16="http://schemas.microsoft.com/office/drawing/2014/main" id="{6EBBE7F4-D792-144A-4AEE-8805FFCF7E2D}"/>
                </a:ext>
              </a:extLst>
            </xdr:cNvPr>
            <xdr:cNvGraphicFramePr/>
          </xdr:nvGraphicFramePr>
          <xdr:xfrm>
            <a:off x="0" y="0"/>
            <a:ext cx="0" cy="0"/>
          </xdr:xfrm>
          <a:graphic>
            <a:graphicData uri="http://schemas.microsoft.com/office/drawing/2010/slicer">
              <sle:slicer xmlns:sle="http://schemas.microsoft.com/office/drawing/2010/slicer" name="Process Status"/>
            </a:graphicData>
          </a:graphic>
        </xdr:graphicFrame>
      </mc:Choice>
      <mc:Fallback>
        <xdr:sp macro="" textlink="">
          <xdr:nvSpPr>
            <xdr:cNvPr id="0" name=""/>
            <xdr:cNvSpPr>
              <a:spLocks noTextEdit="1"/>
            </xdr:cNvSpPr>
          </xdr:nvSpPr>
          <xdr:spPr>
            <a:xfrm>
              <a:off x="0" y="3228976"/>
              <a:ext cx="1828800" cy="1157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0</xdr:rowOff>
    </xdr:from>
    <xdr:to>
      <xdr:col>2</xdr:col>
      <xdr:colOff>457200</xdr:colOff>
      <xdr:row>16</xdr:row>
      <xdr:rowOff>114300</xdr:rowOff>
    </xdr:to>
    <mc:AlternateContent xmlns:mc="http://schemas.openxmlformats.org/markup-compatibility/2006">
      <mc:Choice xmlns:a14="http://schemas.microsoft.com/office/drawing/2010/main" Requires="a14">
        <xdr:graphicFrame macro="">
          <xdr:nvGraphicFramePr>
            <xdr:cNvPr id="8" name="Improvement Opportunity">
              <a:extLst>
                <a:ext uri="{FF2B5EF4-FFF2-40B4-BE49-F238E27FC236}">
                  <a16:creationId xmlns:a16="http://schemas.microsoft.com/office/drawing/2014/main" id="{F9DF36D2-52ED-C85E-4974-FCF97F337774}"/>
                </a:ext>
              </a:extLst>
            </xdr:cNvPr>
            <xdr:cNvGraphicFramePr/>
          </xdr:nvGraphicFramePr>
          <xdr:xfrm>
            <a:off x="0" y="0"/>
            <a:ext cx="0" cy="0"/>
          </xdr:xfrm>
          <a:graphic>
            <a:graphicData uri="http://schemas.microsoft.com/office/drawing/2010/slicer">
              <sle:slicer xmlns:sle="http://schemas.microsoft.com/office/drawing/2010/slicer" name="Improvement Opportunity"/>
            </a:graphicData>
          </a:graphic>
        </xdr:graphicFrame>
      </mc:Choice>
      <mc:Fallback>
        <xdr:sp macro="" textlink="">
          <xdr:nvSpPr>
            <xdr:cNvPr id="0" name=""/>
            <xdr:cNvSpPr>
              <a:spLocks noTextEdit="1"/>
            </xdr:cNvSpPr>
          </xdr:nvSpPr>
          <xdr:spPr>
            <a:xfrm>
              <a:off x="0" y="1200150"/>
              <a:ext cx="1828800" cy="2024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35</xdr:row>
      <xdr:rowOff>82550</xdr:rowOff>
    </xdr:from>
    <xdr:to>
      <xdr:col>17</xdr:col>
      <xdr:colOff>635000</xdr:colOff>
      <xdr:row>43</xdr:row>
      <xdr:rowOff>31750</xdr:rowOff>
    </xdr:to>
    <xdr:sp macro="" textlink="">
      <xdr:nvSpPr>
        <xdr:cNvPr id="9" name="TextBox 8">
          <a:extLst>
            <a:ext uri="{FF2B5EF4-FFF2-40B4-BE49-F238E27FC236}">
              <a16:creationId xmlns:a16="http://schemas.microsoft.com/office/drawing/2014/main" id="{5F162EBA-FA9B-DA8D-2BF1-64B8B3BDA7F4}"/>
            </a:ext>
          </a:extLst>
        </xdr:cNvPr>
        <xdr:cNvSpPr txBox="1"/>
      </xdr:nvSpPr>
      <xdr:spPr>
        <a:xfrm>
          <a:off x="76200" y="6554788"/>
          <a:ext cx="12141200" cy="1397000"/>
        </a:xfrm>
        <a:prstGeom prst="rect">
          <a:avLst/>
        </a:prstGeom>
        <a:solidFill>
          <a:srgbClr val="FFFFFF"/>
        </a:solidFill>
        <a:ln w="9525" cmpd="sng">
          <a:solidFill>
            <a:srgbClr val="E3E7EC"/>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IN" sz="1000">
              <a:solidFill>
                <a:srgbClr val="37414F"/>
              </a:solidFill>
            </a:rPr>
            <a:t>Recommendations:  • Automate the highest-waiting activities and routine approvals.   • Redesign cost-heavy departments; cut non-value-added steps.   • Rebalance resources to SLA-breaching processes.   • Standardise rework-prone steps to lift first-time-right.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ishey Jain" refreshedDate="46192.590752546297" createdVersion="8" refreshedVersion="8" minRefreshableVersion="3" recordCount="110" xr:uid="{5509684D-5252-4C53-8B4B-48B62624ADE3}">
  <cacheSource type="worksheet">
    <worksheetSource name="tblProcess"/>
  </cacheSource>
  <cacheFields count="26">
    <cacheField name="Process ID" numFmtId="0">
      <sharedItems/>
    </cacheField>
    <cacheField name="Process Name" numFmtId="0">
      <sharedItems/>
    </cacheField>
    <cacheField name="Department" numFmtId="0">
      <sharedItems count="6">
        <s v="Operations"/>
        <s v="Finance"/>
        <s v="Sales"/>
        <s v="Customer Service"/>
        <s v="Human Resources"/>
        <s v="Procurement"/>
      </sharedItems>
    </cacheField>
    <cacheField name="Process Owner" numFmtId="0">
      <sharedItems/>
    </cacheField>
    <cacheField name="Activity Name" numFmtId="0">
      <sharedItems count="8">
        <s v="Dispatch"/>
        <s v="Documentation"/>
        <s v="Data Entry"/>
        <s v="Approval"/>
        <s v="Reconciliation"/>
        <s v="Processing"/>
        <s v="Verification"/>
        <s v="Review"/>
      </sharedItems>
    </cacheField>
    <cacheField name="Activity Start Time" numFmtId="20">
      <sharedItems containsSemiMixedTypes="0" containsNonDate="0" containsDate="1" containsString="0" minDate="1899-12-30T08:03:00" maxDate="1899-12-30T15:53:00"/>
    </cacheField>
    <cacheField name="Activity End Time" numFmtId="20">
      <sharedItems containsSemiMixedTypes="0" containsNonDate="0" containsDate="1" containsString="0" minDate="1899-12-30T08:26:00" maxDate="1899-12-30T17:53:00"/>
    </cacheField>
    <cacheField name="Activity Duration" numFmtId="0">
      <sharedItems containsSemiMixedTypes="0" containsString="0" containsNumber="1" containsInteger="1" minValue="8" maxValue="150"/>
    </cacheField>
    <cacheField name="Resource Assigned" numFmtId="0">
      <sharedItems/>
    </cacheField>
    <cacheField name="Task Volume" numFmtId="0">
      <sharedItems containsSemiMixedTypes="0" containsString="0" containsNumber="1" containsInteger="1" minValue="40" maxValue="517"/>
    </cacheField>
    <cacheField name="Tasks Completed" numFmtId="0">
      <sharedItems containsSemiMixedTypes="0" containsString="0" containsNumber="1" containsInteger="1" minValue="38" maxValue="478"/>
    </cacheField>
    <cacheField name="Error Count" numFmtId="0">
      <sharedItems containsSemiMixedTypes="0" containsString="0" containsNumber="1" containsInteger="1" minValue="0" maxValue="49"/>
    </cacheField>
    <cacheField name="Rework Count" numFmtId="0">
      <sharedItems containsSemiMixedTypes="0" containsString="0" containsNumber="1" containsInteger="1" minValue="0" maxValue="40"/>
    </cacheField>
    <cacheField name="Waiting Time" numFmtId="0">
      <sharedItems containsSemiMixedTypes="0" containsString="0" containsNumber="1" containsInteger="1" minValue="0" maxValue="129"/>
    </cacheField>
    <cacheField name="Approval Time" numFmtId="0">
      <sharedItems containsSemiMixedTypes="0" containsString="0" containsNumber="1" containsInteger="1" minValue="0" maxValue="80"/>
    </cacheField>
    <cacheField name="Process Cost" numFmtId="0">
      <sharedItems containsSemiMixedTypes="0" containsString="0" containsNumber="1" containsInteger="1" minValue="261" maxValue="3051"/>
    </cacheField>
    <cacheField name="SLA Target" numFmtId="0">
      <sharedItems containsSemiMixedTypes="0" containsString="0" containsNumber="1" containsInteger="1" minValue="90" maxValue="240"/>
    </cacheField>
    <cacheField name="SLA Achieved" numFmtId="0">
      <sharedItems/>
    </cacheField>
    <cacheField name="Customer Complaint Count" numFmtId="0">
      <sharedItems containsSemiMixedTypes="0" containsString="0" containsNumber="1" containsInteger="1" minValue="0" maxValue="9"/>
    </cacheField>
    <cacheField name="Process Status" numFmtId="0">
      <sharedItems count="3">
        <s v="Delayed"/>
        <s v="At-Risk"/>
        <s v="On-Track"/>
      </sharedItems>
    </cacheField>
    <cacheField name="Improvement Opportunity" numFmtId="0">
      <sharedItems count="6">
        <s v="Training"/>
        <s v="Automation"/>
        <s v="Standardization"/>
        <s v="No Change Needed"/>
        <s v="Process Redesign"/>
        <s v="Resource Reallocation"/>
      </sharedItems>
    </cacheField>
    <cacheField name="Cycle Time" numFmtId="0">
      <sharedItems containsSemiMixedTypes="0" containsString="0" containsNumber="1" containsInteger="1" minValue="28" maxValue="320"/>
    </cacheField>
    <cacheField name="SLA Met" numFmtId="0">
      <sharedItems containsSemiMixedTypes="0" containsString="0" containsNumber="1" containsInteger="1" minValue="0" maxValue="1"/>
    </cacheField>
    <cacheField name="Error Rate" numFmtId="0">
      <sharedItems containsSemiMixedTypes="0" containsString="0" containsNumber="1" minValue="0" maxValue="0.11830985915492957"/>
    </cacheField>
    <cacheField name="Productivity" numFmtId="0">
      <sharedItems containsSemiMixedTypes="0" containsString="0" containsNumber="1" minValue="0.82100238663484482" maxValue="1"/>
    </cacheField>
    <cacheField name="Group" numFmtId="0">
      <sharedItems count="1">
        <s v="Total"/>
      </sharedItems>
    </cacheField>
  </cacheFields>
  <extLst>
    <ext xmlns:x14="http://schemas.microsoft.com/office/spreadsheetml/2009/9/main" uri="{725AE2AE-9491-48be-B2B4-4EB974FC3084}">
      <x14:pivotCacheDefinition pivotCacheId="1598220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s v="PR1001"/>
    <s v="Order Fulfilment"/>
    <x v="0"/>
    <s v="N. Singh"/>
    <x v="0"/>
    <d v="1899-12-30T09:49:00"/>
    <d v="1899-12-30T12:05:00"/>
    <n v="136"/>
    <s v="System (Automated)"/>
    <n v="348"/>
    <n v="334"/>
    <n v="38"/>
    <n v="24"/>
    <n v="54"/>
    <n v="42"/>
    <n v="916"/>
    <n v="90"/>
    <s v="No"/>
    <n v="3"/>
    <x v="0"/>
    <x v="0"/>
    <n v="232"/>
    <n v="0"/>
    <n v="0.10919540229885058"/>
    <n v="0.95977011494252873"/>
    <x v="0"/>
  </r>
  <r>
    <s v="PR1002"/>
    <s v="Accounts Payable"/>
    <x v="1"/>
    <s v="P. Nair"/>
    <x v="0"/>
    <d v="1899-12-30T10:02:00"/>
    <d v="1899-12-30T11:33:00"/>
    <n v="91"/>
    <s v="Process Manager"/>
    <n v="366"/>
    <n v="315"/>
    <n v="18"/>
    <n v="6"/>
    <n v="119"/>
    <n v="38"/>
    <n v="2148"/>
    <n v="90"/>
    <s v="No"/>
    <n v="6"/>
    <x v="0"/>
    <x v="1"/>
    <n v="248"/>
    <n v="0"/>
    <n v="4.9180327868852458E-2"/>
    <n v="0.86065573770491799"/>
    <x v="0"/>
  </r>
  <r>
    <s v="PR1003"/>
    <s v="Quotation Approval"/>
    <x v="2"/>
    <s v="D. Bose"/>
    <x v="1"/>
    <d v="1899-12-30T08:39:00"/>
    <d v="1899-12-30T10:35:00"/>
    <n v="116"/>
    <s v="Junior Analyst"/>
    <n v="247"/>
    <n v="205"/>
    <n v="12"/>
    <n v="10"/>
    <n v="55"/>
    <n v="68"/>
    <n v="1108"/>
    <n v="150"/>
    <s v="No"/>
    <n v="6"/>
    <x v="0"/>
    <x v="2"/>
    <n v="239"/>
    <n v="0"/>
    <n v="4.8582995951417005E-2"/>
    <n v="0.82995951417004044"/>
    <x v="0"/>
  </r>
  <r>
    <s v="PR1004"/>
    <s v="Quotation Approval"/>
    <x v="2"/>
    <s v="K. Rao"/>
    <x v="2"/>
    <d v="1899-12-30T08:17:00"/>
    <d v="1899-12-30T09:04:00"/>
    <n v="47"/>
    <s v="Shared Service Team"/>
    <n v="261"/>
    <n v="250"/>
    <n v="8"/>
    <n v="6"/>
    <n v="103"/>
    <n v="46"/>
    <n v="1104"/>
    <n v="210"/>
    <s v="Yes"/>
    <n v="8"/>
    <x v="1"/>
    <x v="1"/>
    <n v="196"/>
    <n v="1"/>
    <n v="3.0651340996168581E-2"/>
    <n v="0.95785440613026818"/>
    <x v="0"/>
  </r>
  <r>
    <s v="PR1005"/>
    <s v="Quality Inspection"/>
    <x v="0"/>
    <s v="A. Mehta"/>
    <x v="3"/>
    <d v="1899-12-30T08:16:00"/>
    <d v="1899-12-30T08:40:00"/>
    <n v="24"/>
    <s v="System (Automated)"/>
    <n v="334"/>
    <n v="312"/>
    <n v="21"/>
    <n v="16"/>
    <n v="113"/>
    <n v="15"/>
    <n v="739"/>
    <n v="240"/>
    <s v="Yes"/>
    <n v="2"/>
    <x v="2"/>
    <x v="1"/>
    <n v="152"/>
    <n v="1"/>
    <n v="6.2874251497005984E-2"/>
    <n v="0.93413173652694614"/>
    <x v="0"/>
  </r>
  <r>
    <s v="PR1006"/>
    <s v="Query Handling"/>
    <x v="3"/>
    <s v="S. Khan"/>
    <x v="3"/>
    <d v="1899-12-30T11:48:00"/>
    <d v="1899-12-30T14:16:00"/>
    <n v="148"/>
    <s v="Junior Analyst"/>
    <n v="495"/>
    <n v="478"/>
    <n v="4"/>
    <n v="1"/>
    <n v="79"/>
    <n v="43"/>
    <n v="1417"/>
    <n v="90"/>
    <s v="Yes"/>
    <n v="9"/>
    <x v="0"/>
    <x v="3"/>
    <n v="270"/>
    <n v="1"/>
    <n v="8.0808080808080808E-3"/>
    <n v="0.96565656565656566"/>
    <x v="0"/>
  </r>
  <r>
    <s v="PR1007"/>
    <s v="Quotation Approval"/>
    <x v="2"/>
    <s v="A. Mehta"/>
    <x v="4"/>
    <d v="1899-12-30T13:47:00"/>
    <d v="1899-12-30T15:06:00"/>
    <n v="79"/>
    <s v="Junior Analyst"/>
    <n v="462"/>
    <n v="421"/>
    <n v="5"/>
    <n v="4"/>
    <n v="64"/>
    <n v="59"/>
    <n v="933"/>
    <n v="180"/>
    <s v="No"/>
    <n v="6"/>
    <x v="0"/>
    <x v="2"/>
    <n v="202"/>
    <n v="0"/>
    <n v="1.0822510822510822E-2"/>
    <n v="0.91125541125541121"/>
    <x v="0"/>
  </r>
  <r>
    <s v="PR1008"/>
    <s v="Employee Onboarding"/>
    <x v="4"/>
    <s v="S. Khan"/>
    <x v="5"/>
    <d v="1899-12-30T13:24:00"/>
    <d v="1899-12-30T13:35:00"/>
    <n v="11"/>
    <s v="System (Automated)"/>
    <n v="242"/>
    <n v="203"/>
    <n v="13"/>
    <n v="9"/>
    <n v="86"/>
    <n v="30"/>
    <n v="484"/>
    <n v="180"/>
    <s v="Yes"/>
    <n v="2"/>
    <x v="2"/>
    <x v="1"/>
    <n v="127"/>
    <n v="1"/>
    <n v="5.3719008264462811E-2"/>
    <n v="0.83884297520661155"/>
    <x v="0"/>
  </r>
  <r>
    <s v="PR1009"/>
    <s v="Dispatch Scheduling"/>
    <x v="0"/>
    <s v="M. Gupta"/>
    <x v="0"/>
    <d v="1899-12-30T10:27:00"/>
    <d v="1899-12-30T11:09:00"/>
    <n v="42"/>
    <s v="System (Automated)"/>
    <n v="216"/>
    <n v="193"/>
    <n v="23"/>
    <n v="13"/>
    <n v="13"/>
    <n v="28"/>
    <n v="550"/>
    <n v="90"/>
    <s v="Yes"/>
    <n v="2"/>
    <x v="1"/>
    <x v="0"/>
    <n v="83"/>
    <n v="1"/>
    <n v="0.10648148148148148"/>
    <n v="0.89351851851851849"/>
    <x v="0"/>
  </r>
  <r>
    <s v="PR1010"/>
    <s v="Leave Approval"/>
    <x v="4"/>
    <s v="M. Gupta"/>
    <x v="6"/>
    <d v="1899-12-30T15:20:00"/>
    <d v="1899-12-30T17:22:00"/>
    <n v="122"/>
    <s v="System (Automated)"/>
    <n v="380"/>
    <n v="355"/>
    <n v="30"/>
    <n v="23"/>
    <n v="93"/>
    <n v="65"/>
    <n v="1136"/>
    <n v="240"/>
    <s v="No"/>
    <n v="3"/>
    <x v="0"/>
    <x v="1"/>
    <n v="280"/>
    <n v="0"/>
    <n v="7.8947368421052627E-2"/>
    <n v="0.93421052631578949"/>
    <x v="0"/>
  </r>
  <r>
    <s v="PR1011"/>
    <s v="Query Handling"/>
    <x v="3"/>
    <s v="K. Rao"/>
    <x v="0"/>
    <d v="1899-12-30T14:16:00"/>
    <d v="1899-12-30T15:41:00"/>
    <n v="85"/>
    <s v="Outsourced Vendor"/>
    <n v="170"/>
    <n v="163"/>
    <n v="17"/>
    <n v="7"/>
    <n v="76"/>
    <n v="5"/>
    <n v="937"/>
    <n v="90"/>
    <s v="No"/>
    <n v="6"/>
    <x v="0"/>
    <x v="0"/>
    <n v="166"/>
    <n v="0"/>
    <n v="0.1"/>
    <n v="0.95882352941176474"/>
    <x v="0"/>
  </r>
  <r>
    <s v="PR1012"/>
    <s v="Quotation Approval"/>
    <x v="2"/>
    <s v="A. Mehta"/>
    <x v="4"/>
    <d v="1899-12-30T14:03:00"/>
    <d v="1899-12-30T16:32:00"/>
    <n v="149"/>
    <s v="Senior Analyst"/>
    <n v="144"/>
    <n v="143"/>
    <n v="13"/>
    <n v="8"/>
    <n v="14"/>
    <n v="1"/>
    <n v="1930"/>
    <n v="180"/>
    <s v="Yes"/>
    <n v="3"/>
    <x v="1"/>
    <x v="4"/>
    <n v="164"/>
    <n v="1"/>
    <n v="9.0277777777777776E-2"/>
    <n v="0.99305555555555558"/>
    <x v="0"/>
  </r>
  <r>
    <s v="PR1013"/>
    <s v="Query Handling"/>
    <x v="3"/>
    <s v="A. Mehta"/>
    <x v="2"/>
    <d v="1899-12-30T13:09:00"/>
    <d v="1899-12-30T14:25:00"/>
    <n v="76"/>
    <s v="Outsourced Vendor"/>
    <n v="366"/>
    <n v="351"/>
    <n v="30"/>
    <n v="29"/>
    <n v="115"/>
    <n v="43"/>
    <n v="1207"/>
    <n v="240"/>
    <s v="No"/>
    <n v="7"/>
    <x v="1"/>
    <x v="1"/>
    <n v="234"/>
    <n v="0"/>
    <n v="8.1967213114754092E-2"/>
    <n v="0.95901639344262291"/>
    <x v="0"/>
  </r>
  <r>
    <s v="PR1014"/>
    <s v="Accounts Payable"/>
    <x v="1"/>
    <s v="P. Nair"/>
    <x v="2"/>
    <d v="1899-12-30T13:29:00"/>
    <d v="1899-12-30T14:32:00"/>
    <n v="63"/>
    <s v="Senior Analyst"/>
    <n v="447"/>
    <n v="379"/>
    <n v="5"/>
    <n v="2"/>
    <n v="49"/>
    <n v="20"/>
    <n v="989"/>
    <n v="240"/>
    <s v="Yes"/>
    <n v="2"/>
    <x v="2"/>
    <x v="3"/>
    <n v="132"/>
    <n v="1"/>
    <n v="1.1185682326621925E-2"/>
    <n v="0.84787472035794187"/>
    <x v="0"/>
  </r>
  <r>
    <s v="PR1015"/>
    <s v="Lead Qualification"/>
    <x v="2"/>
    <s v="S. Khan"/>
    <x v="4"/>
    <d v="1899-12-30T15:38:00"/>
    <d v="1899-12-30T16:34:00"/>
    <n v="56"/>
    <s v="System (Automated)"/>
    <n v="304"/>
    <n v="259"/>
    <n v="28"/>
    <n v="21"/>
    <n v="58"/>
    <n v="13"/>
    <n v="676"/>
    <n v="210"/>
    <s v="Yes"/>
    <n v="1"/>
    <x v="2"/>
    <x v="2"/>
    <n v="127"/>
    <n v="1"/>
    <n v="9.2105263157894732E-2"/>
    <n v="0.85197368421052633"/>
    <x v="0"/>
  </r>
  <r>
    <s v="PR1016"/>
    <s v="Order Fulfilment"/>
    <x v="0"/>
    <s v="S. Khan"/>
    <x v="4"/>
    <d v="1899-12-30T08:20:00"/>
    <d v="1899-12-30T08:56:00"/>
    <n v="36"/>
    <s v="System (Automated)"/>
    <n v="269"/>
    <n v="230"/>
    <n v="18"/>
    <n v="16"/>
    <n v="23"/>
    <n v="35"/>
    <n v="515"/>
    <n v="120"/>
    <s v="Yes"/>
    <n v="0"/>
    <x v="2"/>
    <x v="2"/>
    <n v="94"/>
    <n v="1"/>
    <n v="6.6914498141263934E-2"/>
    <n v="0.85501858736059477"/>
    <x v="0"/>
  </r>
  <r>
    <s v="PR1017"/>
    <s v="PO Approval"/>
    <x v="5"/>
    <s v="R. Iyer"/>
    <x v="2"/>
    <d v="1899-12-30T10:00:00"/>
    <d v="1899-12-30T11:21:00"/>
    <n v="81"/>
    <s v="Senior Analyst"/>
    <n v="124"/>
    <n v="112"/>
    <n v="9"/>
    <n v="5"/>
    <n v="85"/>
    <n v="4"/>
    <n v="1245"/>
    <n v="150"/>
    <s v="No"/>
    <n v="4"/>
    <x v="0"/>
    <x v="1"/>
    <n v="170"/>
    <n v="0"/>
    <n v="7.2580645161290328E-2"/>
    <n v="0.90322580645161288"/>
    <x v="0"/>
  </r>
  <r>
    <s v="PR1018"/>
    <s v="Complaint Resolution"/>
    <x v="3"/>
    <s v="D. Bose"/>
    <x v="7"/>
    <d v="1899-12-30T12:13:00"/>
    <d v="1899-12-30T13:03:00"/>
    <n v="50"/>
    <s v="Junior Analyst"/>
    <n v="264"/>
    <n v="233"/>
    <n v="29"/>
    <n v="26"/>
    <n v="6"/>
    <n v="24"/>
    <n v="602"/>
    <n v="90"/>
    <s v="Yes"/>
    <n v="9"/>
    <x v="1"/>
    <x v="2"/>
    <n v="80"/>
    <n v="1"/>
    <n v="0.10984848484848485"/>
    <n v="0.88257575757575757"/>
    <x v="0"/>
  </r>
  <r>
    <s v="PR1019"/>
    <s v="Purchase Requisition"/>
    <x v="5"/>
    <s v="S. Khan"/>
    <x v="1"/>
    <d v="1899-12-30T14:36:00"/>
    <d v="1899-12-30T16:18:00"/>
    <n v="102"/>
    <s v="Senior Analyst"/>
    <n v="445"/>
    <n v="387"/>
    <n v="32"/>
    <n v="31"/>
    <n v="14"/>
    <n v="58"/>
    <n v="1717"/>
    <n v="150"/>
    <s v="No"/>
    <n v="1"/>
    <x v="0"/>
    <x v="2"/>
    <n v="174"/>
    <n v="0"/>
    <n v="7.1910112359550568E-2"/>
    <n v="0.86966292134831458"/>
    <x v="0"/>
  </r>
  <r>
    <s v="PR1020"/>
    <s v="Vendor Onboarding"/>
    <x v="5"/>
    <s v="D. Bose"/>
    <x v="2"/>
    <d v="1899-12-30T08:29:00"/>
    <d v="1899-12-30T10:07:00"/>
    <n v="98"/>
    <s v="System (Automated)"/>
    <n v="158"/>
    <n v="158"/>
    <n v="7"/>
    <n v="4"/>
    <n v="100"/>
    <n v="13"/>
    <n v="678"/>
    <n v="180"/>
    <s v="No"/>
    <n v="8"/>
    <x v="0"/>
    <x v="1"/>
    <n v="211"/>
    <n v="0"/>
    <n v="4.4303797468354431E-2"/>
    <n v="1"/>
    <x v="0"/>
  </r>
  <r>
    <s v="PR1021"/>
    <s v="Vendor Onboarding"/>
    <x v="5"/>
    <s v="K. Rao"/>
    <x v="7"/>
    <d v="1899-12-30T14:28:00"/>
    <d v="1899-12-30T15:11:00"/>
    <n v="43"/>
    <s v="Process Manager"/>
    <n v="124"/>
    <n v="108"/>
    <n v="9"/>
    <n v="4"/>
    <n v="59"/>
    <n v="53"/>
    <n v="1370"/>
    <n v="90"/>
    <s v="Yes"/>
    <n v="2"/>
    <x v="0"/>
    <x v="0"/>
    <n v="155"/>
    <n v="1"/>
    <n v="7.2580645161290328E-2"/>
    <n v="0.87096774193548387"/>
    <x v="0"/>
  </r>
  <r>
    <s v="PR1022"/>
    <s v="Contract Processing"/>
    <x v="2"/>
    <s v="N. Singh"/>
    <x v="2"/>
    <d v="1899-12-30T13:20:00"/>
    <d v="1899-12-30T15:24:00"/>
    <n v="124"/>
    <s v="Senior Analyst"/>
    <n v="230"/>
    <n v="191"/>
    <n v="7"/>
    <n v="3"/>
    <n v="122"/>
    <n v="31"/>
    <n v="1820"/>
    <n v="180"/>
    <s v="No"/>
    <n v="7"/>
    <x v="0"/>
    <x v="1"/>
    <n v="277"/>
    <n v="0"/>
    <n v="3.0434782608695653E-2"/>
    <n v="0.83043478260869563"/>
    <x v="0"/>
  </r>
  <r>
    <s v="PR1023"/>
    <s v="Expense Reimbursement"/>
    <x v="1"/>
    <s v="R. Iyer"/>
    <x v="4"/>
    <d v="1899-12-30T15:33:00"/>
    <d v="1899-12-30T15:56:00"/>
    <n v="23"/>
    <s v="Shared Service Team"/>
    <n v="386"/>
    <n v="328"/>
    <n v="12"/>
    <n v="6"/>
    <n v="97"/>
    <n v="21"/>
    <n v="530"/>
    <n v="210"/>
    <s v="Yes"/>
    <n v="2"/>
    <x v="2"/>
    <x v="1"/>
    <n v="141"/>
    <n v="1"/>
    <n v="3.1088082901554404E-2"/>
    <n v="0.84974093264248707"/>
    <x v="0"/>
  </r>
  <r>
    <s v="PR1024"/>
    <s v="Dispatch Scheduling"/>
    <x v="0"/>
    <s v="D. Bose"/>
    <x v="1"/>
    <d v="1899-12-30T11:11:00"/>
    <d v="1899-12-30T11:32:00"/>
    <n v="21"/>
    <s v="Junior Analyst"/>
    <n v="419"/>
    <n v="345"/>
    <n v="5"/>
    <n v="2"/>
    <n v="40"/>
    <n v="67"/>
    <n v="521"/>
    <n v="210"/>
    <s v="Yes"/>
    <n v="2"/>
    <x v="2"/>
    <x v="5"/>
    <n v="128"/>
    <n v="1"/>
    <n v="1.1933174224343675E-2"/>
    <n v="0.8233890214797136"/>
    <x v="0"/>
  </r>
  <r>
    <s v="PR1025"/>
    <s v="Dispatch Scheduling"/>
    <x v="0"/>
    <s v="R. Iyer"/>
    <x v="7"/>
    <d v="1899-12-30T08:26:00"/>
    <d v="1899-12-30T09:09:00"/>
    <n v="43"/>
    <s v="Junior Analyst"/>
    <n v="326"/>
    <n v="314"/>
    <n v="32"/>
    <n v="12"/>
    <n v="37"/>
    <n v="61"/>
    <n v="820"/>
    <n v="150"/>
    <s v="Yes"/>
    <n v="3"/>
    <x v="1"/>
    <x v="5"/>
    <n v="141"/>
    <n v="1"/>
    <n v="9.815950920245399E-2"/>
    <n v="0.96319018404907975"/>
    <x v="0"/>
  </r>
  <r>
    <s v="PR1026"/>
    <s v="Leave Approval"/>
    <x v="4"/>
    <s v="N. Singh"/>
    <x v="1"/>
    <d v="1899-12-30T11:03:00"/>
    <d v="1899-12-30T11:54:00"/>
    <n v="51"/>
    <s v="System (Automated)"/>
    <n v="452"/>
    <n v="443"/>
    <n v="30"/>
    <n v="12"/>
    <n v="1"/>
    <n v="0"/>
    <n v="369"/>
    <n v="90"/>
    <s v="Yes"/>
    <n v="0"/>
    <x v="2"/>
    <x v="3"/>
    <n v="52"/>
    <n v="1"/>
    <n v="6.637168141592921E-2"/>
    <n v="0.98008849557522126"/>
    <x v="0"/>
  </r>
  <r>
    <s v="PR1027"/>
    <s v="Lead Qualification"/>
    <x v="2"/>
    <s v="P. Nair"/>
    <x v="1"/>
    <d v="1899-12-30T10:44:00"/>
    <d v="1899-12-30T11:42:00"/>
    <n v="58"/>
    <s v="Outsourced Vendor"/>
    <n v="115"/>
    <n v="97"/>
    <n v="4"/>
    <n v="3"/>
    <n v="98"/>
    <n v="40"/>
    <n v="887"/>
    <n v="210"/>
    <s v="Yes"/>
    <n v="5"/>
    <x v="1"/>
    <x v="1"/>
    <n v="196"/>
    <n v="1"/>
    <n v="3.4782608695652174E-2"/>
    <n v="0.84347826086956523"/>
    <x v="0"/>
  </r>
  <r>
    <s v="PR1028"/>
    <s v="Quality Inspection"/>
    <x v="0"/>
    <s v="S. Khan"/>
    <x v="3"/>
    <d v="1899-12-30T11:13:00"/>
    <d v="1899-12-30T11:23:00"/>
    <n v="10"/>
    <s v="Outsourced Vendor"/>
    <n v="95"/>
    <n v="79"/>
    <n v="4"/>
    <n v="3"/>
    <n v="46"/>
    <n v="32"/>
    <n v="416"/>
    <n v="180"/>
    <s v="Yes"/>
    <n v="2"/>
    <x v="2"/>
    <x v="2"/>
    <n v="88"/>
    <n v="1"/>
    <n v="4.2105263157894736E-2"/>
    <n v="0.83157894736842108"/>
    <x v="0"/>
  </r>
  <r>
    <s v="PR1029"/>
    <s v="Employee Onboarding"/>
    <x v="4"/>
    <s v="R. Iyer"/>
    <x v="6"/>
    <d v="1899-12-30T15:28:00"/>
    <d v="1899-12-30T17:17:00"/>
    <n v="109"/>
    <s v="Process Manager"/>
    <n v="439"/>
    <n v="438"/>
    <n v="15"/>
    <n v="10"/>
    <n v="128"/>
    <n v="76"/>
    <n v="2703"/>
    <n v="90"/>
    <s v="No"/>
    <n v="6"/>
    <x v="0"/>
    <x v="1"/>
    <n v="313"/>
    <n v="0"/>
    <n v="3.4168564920273349E-2"/>
    <n v="0.99772209567198178"/>
    <x v="0"/>
  </r>
  <r>
    <s v="PR1030"/>
    <s v="Order Fulfilment"/>
    <x v="0"/>
    <s v="P. Nair"/>
    <x v="3"/>
    <d v="1899-12-30T14:40:00"/>
    <d v="1899-12-30T16:06:00"/>
    <n v="86"/>
    <s v="Shared Service Team"/>
    <n v="40"/>
    <n v="38"/>
    <n v="4"/>
    <n v="2"/>
    <n v="129"/>
    <n v="25"/>
    <n v="1399"/>
    <n v="240"/>
    <s v="Yes"/>
    <n v="3"/>
    <x v="1"/>
    <x v="1"/>
    <n v="240"/>
    <n v="1"/>
    <n v="0.1"/>
    <n v="0.95"/>
    <x v="0"/>
  </r>
  <r>
    <s v="PR1031"/>
    <s v="Leave Approval"/>
    <x v="4"/>
    <s v="A. Mehta"/>
    <x v="3"/>
    <d v="1899-12-30T14:28:00"/>
    <d v="1899-12-30T16:35:00"/>
    <n v="127"/>
    <s v="Process Manager"/>
    <n v="496"/>
    <n v="415"/>
    <n v="39"/>
    <n v="20"/>
    <n v="112"/>
    <n v="41"/>
    <n v="2718"/>
    <n v="180"/>
    <s v="No"/>
    <n v="6"/>
    <x v="0"/>
    <x v="1"/>
    <n v="280"/>
    <n v="0"/>
    <n v="7.8629032258064516E-2"/>
    <n v="0.83669354838709675"/>
    <x v="0"/>
  </r>
  <r>
    <s v="PR1032"/>
    <s v="Lead Qualification"/>
    <x v="2"/>
    <s v="N. Singh"/>
    <x v="0"/>
    <d v="1899-12-30T11:07:00"/>
    <d v="1899-12-30T11:33:00"/>
    <n v="26"/>
    <s v="System (Automated)"/>
    <n v="217"/>
    <n v="181"/>
    <n v="8"/>
    <n v="2"/>
    <n v="20"/>
    <n v="59"/>
    <n v="538"/>
    <n v="150"/>
    <s v="Yes"/>
    <n v="0"/>
    <x v="2"/>
    <x v="5"/>
    <n v="105"/>
    <n v="1"/>
    <n v="3.6866359447004608E-2"/>
    <n v="0.83410138248847931"/>
    <x v="0"/>
  </r>
  <r>
    <s v="PR1033"/>
    <s v="Payroll Processing"/>
    <x v="4"/>
    <s v="S. Khan"/>
    <x v="7"/>
    <d v="1899-12-30T10:26:00"/>
    <d v="1899-12-30T12:45:00"/>
    <n v="139"/>
    <s v="Shared Service Team"/>
    <n v="177"/>
    <n v="171"/>
    <n v="18"/>
    <n v="7"/>
    <n v="7"/>
    <n v="23"/>
    <n v="1557"/>
    <n v="180"/>
    <s v="Yes"/>
    <n v="5"/>
    <x v="1"/>
    <x v="0"/>
    <n v="169"/>
    <n v="1"/>
    <n v="0.10169491525423729"/>
    <n v="0.96610169491525422"/>
    <x v="0"/>
  </r>
  <r>
    <s v="PR1034"/>
    <s v="PO Approval"/>
    <x v="5"/>
    <s v="S. Khan"/>
    <x v="0"/>
    <d v="1899-12-30T12:25:00"/>
    <d v="1899-12-30T14:43:00"/>
    <n v="138"/>
    <s v="Process Manager"/>
    <n v="440"/>
    <n v="412"/>
    <n v="22"/>
    <n v="7"/>
    <n v="78"/>
    <n v="47"/>
    <n v="2931"/>
    <n v="120"/>
    <s v="No"/>
    <n v="3"/>
    <x v="0"/>
    <x v="4"/>
    <n v="263"/>
    <n v="0"/>
    <n v="0.05"/>
    <n v="0.9363636363636364"/>
    <x v="0"/>
  </r>
  <r>
    <s v="PR1035"/>
    <s v="Expense Reimbursement"/>
    <x v="1"/>
    <s v="R. Iyer"/>
    <x v="5"/>
    <d v="1899-12-30T10:19:00"/>
    <d v="1899-12-30T12:44:00"/>
    <n v="145"/>
    <s v="Senior Analyst"/>
    <n v="117"/>
    <n v="106"/>
    <n v="0"/>
    <n v="0"/>
    <n v="8"/>
    <n v="67"/>
    <n v="1865"/>
    <n v="150"/>
    <s v="No"/>
    <n v="7"/>
    <x v="0"/>
    <x v="4"/>
    <n v="220"/>
    <n v="0"/>
    <n v="0"/>
    <n v="0.90598290598290598"/>
    <x v="0"/>
  </r>
  <r>
    <s v="PR1036"/>
    <s v="Accounts Payable"/>
    <x v="1"/>
    <s v="R. Iyer"/>
    <x v="0"/>
    <d v="1899-12-30T11:18:00"/>
    <d v="1899-12-30T13:03:00"/>
    <n v="105"/>
    <s v="Process Manager"/>
    <n v="406"/>
    <n v="364"/>
    <n v="35"/>
    <n v="12"/>
    <n v="27"/>
    <n v="33"/>
    <n v="2250"/>
    <n v="210"/>
    <s v="Yes"/>
    <n v="2"/>
    <x v="2"/>
    <x v="4"/>
    <n v="165"/>
    <n v="1"/>
    <n v="8.6206896551724144E-2"/>
    <n v="0.89655172413793105"/>
    <x v="0"/>
  </r>
  <r>
    <s v="PR1037"/>
    <s v="Accounts Payable"/>
    <x v="1"/>
    <s v="S. Khan"/>
    <x v="7"/>
    <d v="1899-12-30T12:10:00"/>
    <d v="1899-12-30T13:15:00"/>
    <n v="65"/>
    <s v="System (Automated)"/>
    <n v="121"/>
    <n v="118"/>
    <n v="1"/>
    <n v="0"/>
    <n v="72"/>
    <n v="24"/>
    <n v="655"/>
    <n v="180"/>
    <s v="No"/>
    <n v="5"/>
    <x v="1"/>
    <x v="3"/>
    <n v="161"/>
    <n v="0"/>
    <n v="8.2644628099173556E-3"/>
    <n v="0.97520661157024791"/>
    <x v="0"/>
  </r>
  <r>
    <s v="PR1038"/>
    <s v="PO Approval"/>
    <x v="5"/>
    <s v="R. Iyer"/>
    <x v="3"/>
    <d v="1899-12-30T08:20:00"/>
    <d v="1899-12-30T09:39:00"/>
    <n v="79"/>
    <s v="Junior Analyst"/>
    <n v="467"/>
    <n v="444"/>
    <n v="19"/>
    <n v="13"/>
    <n v="14"/>
    <n v="51"/>
    <n v="721"/>
    <n v="240"/>
    <s v="Yes"/>
    <n v="2"/>
    <x v="2"/>
    <x v="2"/>
    <n v="144"/>
    <n v="1"/>
    <n v="4.068522483940043E-2"/>
    <n v="0.95074946466809418"/>
    <x v="0"/>
  </r>
  <r>
    <s v="PR1039"/>
    <s v="Dispatch Scheduling"/>
    <x v="0"/>
    <s v="P. Nair"/>
    <x v="2"/>
    <d v="1899-12-30T12:07:00"/>
    <d v="1899-12-30T13:04:00"/>
    <n v="57"/>
    <s v="Junior Analyst"/>
    <n v="83"/>
    <n v="72"/>
    <n v="3"/>
    <n v="1"/>
    <n v="97"/>
    <n v="67"/>
    <n v="1100"/>
    <n v="150"/>
    <s v="No"/>
    <n v="2"/>
    <x v="0"/>
    <x v="1"/>
    <n v="221"/>
    <n v="0"/>
    <n v="3.614457831325301E-2"/>
    <n v="0.86746987951807231"/>
    <x v="0"/>
  </r>
  <r>
    <s v="PR1040"/>
    <s v="Expense Reimbursement"/>
    <x v="1"/>
    <s v="D. Bose"/>
    <x v="2"/>
    <d v="1899-12-30T13:33:00"/>
    <d v="1899-12-30T15:58:00"/>
    <n v="145"/>
    <s v="Junior Analyst"/>
    <n v="275"/>
    <n v="233"/>
    <n v="22"/>
    <n v="19"/>
    <n v="65"/>
    <n v="67"/>
    <n v="1539"/>
    <n v="210"/>
    <s v="No"/>
    <n v="2"/>
    <x v="0"/>
    <x v="2"/>
    <n v="277"/>
    <n v="0"/>
    <n v="0.08"/>
    <n v="0.84727272727272729"/>
    <x v="0"/>
  </r>
  <r>
    <s v="PR1041"/>
    <s v="Employee Onboarding"/>
    <x v="4"/>
    <s v="S. Khan"/>
    <x v="4"/>
    <d v="1899-12-30T08:28:00"/>
    <d v="1899-12-30T09:33:00"/>
    <n v="65"/>
    <s v="Junior Analyst"/>
    <n v="306"/>
    <n v="255"/>
    <n v="26"/>
    <n v="18"/>
    <n v="1"/>
    <n v="16"/>
    <n v="648"/>
    <n v="120"/>
    <s v="Yes"/>
    <n v="1"/>
    <x v="2"/>
    <x v="2"/>
    <n v="82"/>
    <n v="1"/>
    <n v="8.4967320261437912E-2"/>
    <n v="0.83333333333333337"/>
    <x v="0"/>
  </r>
  <r>
    <s v="PR1042"/>
    <s v="Invoice Processing"/>
    <x v="1"/>
    <s v="P. Nair"/>
    <x v="2"/>
    <d v="1899-12-30T12:13:00"/>
    <d v="1899-12-30T13:24:00"/>
    <n v="71"/>
    <s v="Shared Service Team"/>
    <n v="474"/>
    <n v="403"/>
    <n v="25"/>
    <n v="24"/>
    <n v="92"/>
    <n v="8"/>
    <n v="950"/>
    <n v="150"/>
    <s v="No"/>
    <n v="1"/>
    <x v="0"/>
    <x v="1"/>
    <n v="171"/>
    <n v="0"/>
    <n v="5.2742616033755275E-2"/>
    <n v="0.85021097046413507"/>
    <x v="0"/>
  </r>
  <r>
    <s v="PR1043"/>
    <s v="Quality Inspection"/>
    <x v="0"/>
    <s v="K. Rao"/>
    <x v="3"/>
    <d v="1899-12-30T14:49:00"/>
    <d v="1899-12-30T15:16:00"/>
    <n v="27"/>
    <s v="Shared Service Team"/>
    <n v="45"/>
    <n v="45"/>
    <n v="0"/>
    <n v="0"/>
    <n v="35"/>
    <n v="80"/>
    <n v="893"/>
    <n v="180"/>
    <s v="Yes"/>
    <n v="1"/>
    <x v="2"/>
    <x v="5"/>
    <n v="142"/>
    <n v="1"/>
    <n v="0"/>
    <n v="1"/>
    <x v="0"/>
  </r>
  <r>
    <s v="PR1044"/>
    <s v="Lead Qualification"/>
    <x v="2"/>
    <s v="S. Khan"/>
    <x v="2"/>
    <d v="1899-12-30T08:56:00"/>
    <d v="1899-12-30T11:26:00"/>
    <n v="150"/>
    <s v="Outsourced Vendor"/>
    <n v="294"/>
    <n v="267"/>
    <n v="22"/>
    <n v="18"/>
    <n v="28"/>
    <n v="62"/>
    <n v="1510"/>
    <n v="120"/>
    <s v="No"/>
    <n v="8"/>
    <x v="0"/>
    <x v="2"/>
    <n v="240"/>
    <n v="0"/>
    <n v="7.4829931972789115E-2"/>
    <n v="0.90816326530612246"/>
    <x v="0"/>
  </r>
  <r>
    <s v="PR1045"/>
    <s v="Dispatch Scheduling"/>
    <x v="0"/>
    <s v="M. Gupta"/>
    <x v="7"/>
    <d v="1899-12-30T09:33:00"/>
    <d v="1899-12-30T10:18:00"/>
    <n v="45"/>
    <s v="Shared Service Team"/>
    <n v="360"/>
    <n v="304"/>
    <n v="18"/>
    <n v="14"/>
    <n v="9"/>
    <n v="70"/>
    <n v="961"/>
    <n v="120"/>
    <s v="No"/>
    <n v="1"/>
    <x v="0"/>
    <x v="2"/>
    <n v="124"/>
    <n v="0"/>
    <n v="0.05"/>
    <n v="0.84444444444444444"/>
    <x v="0"/>
  </r>
  <r>
    <s v="PR1046"/>
    <s v="Leave Approval"/>
    <x v="4"/>
    <s v="M. Gupta"/>
    <x v="4"/>
    <d v="1899-12-30T10:28:00"/>
    <d v="1899-12-30T12:55:00"/>
    <n v="147"/>
    <s v="Shared Service Team"/>
    <n v="97"/>
    <n v="83"/>
    <n v="11"/>
    <n v="6"/>
    <n v="64"/>
    <n v="53"/>
    <n v="1638"/>
    <n v="180"/>
    <s v="No"/>
    <n v="6"/>
    <x v="0"/>
    <x v="0"/>
    <n v="264"/>
    <n v="0"/>
    <n v="0.1134020618556701"/>
    <n v="0.85567010309278346"/>
    <x v="0"/>
  </r>
  <r>
    <s v="PR1047"/>
    <s v="Expense Reimbursement"/>
    <x v="1"/>
    <s v="M. Gupta"/>
    <x v="3"/>
    <d v="1899-12-30T11:28:00"/>
    <d v="1899-12-30T12:02:00"/>
    <n v="34"/>
    <s v="Junior Analyst"/>
    <n v="426"/>
    <n v="350"/>
    <n v="26"/>
    <n v="22"/>
    <n v="128"/>
    <n v="63"/>
    <n v="790"/>
    <n v="240"/>
    <s v="Yes"/>
    <n v="6"/>
    <x v="1"/>
    <x v="1"/>
    <n v="225"/>
    <n v="1"/>
    <n v="6.1032863849765258E-2"/>
    <n v="0.82159624413145538"/>
    <x v="0"/>
  </r>
  <r>
    <s v="PR1048"/>
    <s v="Purchase Requisition"/>
    <x v="5"/>
    <s v="A. Mehta"/>
    <x v="2"/>
    <d v="1899-12-30T15:53:00"/>
    <d v="1899-12-30T17:34:00"/>
    <n v="101"/>
    <s v="Outsourced Vendor"/>
    <n v="151"/>
    <n v="138"/>
    <n v="9"/>
    <n v="3"/>
    <n v="45"/>
    <n v="59"/>
    <n v="1028"/>
    <n v="240"/>
    <s v="Yes"/>
    <n v="9"/>
    <x v="1"/>
    <x v="5"/>
    <n v="205"/>
    <n v="1"/>
    <n v="5.9602649006622516E-2"/>
    <n v="0.91390728476821192"/>
    <x v="0"/>
  </r>
  <r>
    <s v="PR1049"/>
    <s v="Query Handling"/>
    <x v="3"/>
    <s v="R. Iyer"/>
    <x v="5"/>
    <d v="1899-12-30T14:55:00"/>
    <d v="1899-12-30T15:30:00"/>
    <n v="35"/>
    <s v="Shared Service Team"/>
    <n v="187"/>
    <n v="179"/>
    <n v="12"/>
    <n v="11"/>
    <n v="1"/>
    <n v="23"/>
    <n v="655"/>
    <n v="90"/>
    <s v="Yes"/>
    <n v="0"/>
    <x v="2"/>
    <x v="2"/>
    <n v="59"/>
    <n v="1"/>
    <n v="6.4171122994652413E-2"/>
    <n v="0.95721925133689845"/>
    <x v="0"/>
  </r>
  <r>
    <s v="PR1050"/>
    <s v="Vendor Onboarding"/>
    <x v="5"/>
    <s v="N. Singh"/>
    <x v="5"/>
    <d v="1899-12-30T12:11:00"/>
    <d v="1899-12-30T13:16:00"/>
    <n v="65"/>
    <s v="System (Automated)"/>
    <n v="441"/>
    <n v="382"/>
    <n v="49"/>
    <n v="28"/>
    <n v="50"/>
    <n v="35"/>
    <n v="729"/>
    <n v="210"/>
    <s v="Yes"/>
    <n v="2"/>
    <x v="2"/>
    <x v="0"/>
    <n v="150"/>
    <n v="1"/>
    <n v="0.1111111111111111"/>
    <n v="0.86621315192743764"/>
    <x v="0"/>
  </r>
  <r>
    <s v="PR1051"/>
    <s v="Dispatch Scheduling"/>
    <x v="0"/>
    <s v="S. Khan"/>
    <x v="0"/>
    <d v="1899-12-30T13:44:00"/>
    <d v="1899-12-30T15:56:00"/>
    <n v="132"/>
    <s v="Process Manager"/>
    <n v="98"/>
    <n v="91"/>
    <n v="10"/>
    <n v="5"/>
    <n v="96"/>
    <n v="65"/>
    <n v="3051"/>
    <n v="90"/>
    <s v="Yes"/>
    <n v="7"/>
    <x v="0"/>
    <x v="1"/>
    <n v="293"/>
    <n v="1"/>
    <n v="0.10204081632653061"/>
    <n v="0.9285714285714286"/>
    <x v="0"/>
  </r>
  <r>
    <s v="PR1052"/>
    <s v="Refund Processing"/>
    <x v="3"/>
    <s v="N. Singh"/>
    <x v="0"/>
    <d v="1899-12-30T14:40:00"/>
    <d v="1899-12-30T15:33:00"/>
    <n v="53"/>
    <s v="Outsourced Vendor"/>
    <n v="204"/>
    <n v="196"/>
    <n v="17"/>
    <n v="13"/>
    <n v="31"/>
    <n v="39"/>
    <n v="677"/>
    <n v="210"/>
    <s v="Yes"/>
    <n v="2"/>
    <x v="2"/>
    <x v="2"/>
    <n v="123"/>
    <n v="1"/>
    <n v="8.3333333333333329E-2"/>
    <n v="0.96078431372549022"/>
    <x v="0"/>
  </r>
  <r>
    <s v="PR1053"/>
    <s v="Dispatch Scheduling"/>
    <x v="0"/>
    <s v="N. Singh"/>
    <x v="1"/>
    <d v="1899-12-30T15:33:00"/>
    <d v="1899-12-30T16:59:00"/>
    <n v="86"/>
    <s v="Senior Analyst"/>
    <n v="305"/>
    <n v="251"/>
    <n v="4"/>
    <n v="1"/>
    <n v="15"/>
    <n v="29"/>
    <n v="1304"/>
    <n v="150"/>
    <s v="Yes"/>
    <n v="4"/>
    <x v="1"/>
    <x v="3"/>
    <n v="130"/>
    <n v="1"/>
    <n v="1.3114754098360656E-2"/>
    <n v="0.82295081967213113"/>
    <x v="0"/>
  </r>
  <r>
    <s v="PR1054"/>
    <s v="Refund Processing"/>
    <x v="3"/>
    <s v="M. Gupta"/>
    <x v="5"/>
    <d v="1899-12-30T14:03:00"/>
    <d v="1899-12-30T15:46:00"/>
    <n v="103"/>
    <s v="Process Manager"/>
    <n v="318"/>
    <n v="265"/>
    <n v="17"/>
    <n v="5"/>
    <n v="93"/>
    <n v="68"/>
    <n v="2584"/>
    <n v="180"/>
    <s v="No"/>
    <n v="3"/>
    <x v="0"/>
    <x v="1"/>
    <n v="264"/>
    <n v="0"/>
    <n v="5.3459119496855348E-2"/>
    <n v="0.83333333333333337"/>
    <x v="0"/>
  </r>
  <r>
    <s v="PR1055"/>
    <s v="Refund Processing"/>
    <x v="3"/>
    <s v="S. Khan"/>
    <x v="0"/>
    <d v="1899-12-30T13:29:00"/>
    <d v="1899-12-30T15:48:00"/>
    <n v="139"/>
    <s v="Shared Service Team"/>
    <n v="241"/>
    <n v="210"/>
    <n v="9"/>
    <n v="5"/>
    <n v="103"/>
    <n v="10"/>
    <n v="1457"/>
    <n v="90"/>
    <s v="Yes"/>
    <n v="2"/>
    <x v="0"/>
    <x v="1"/>
    <n v="252"/>
    <n v="1"/>
    <n v="3.7344398340248962E-2"/>
    <n v="0.87136929460580914"/>
    <x v="0"/>
  </r>
  <r>
    <s v="PR1056"/>
    <s v="Leave Approval"/>
    <x v="4"/>
    <s v="M. Gupta"/>
    <x v="7"/>
    <d v="1899-12-30T08:03:00"/>
    <d v="1899-12-30T08:26:00"/>
    <n v="23"/>
    <s v="Junior Analyst"/>
    <n v="420"/>
    <n v="392"/>
    <n v="2"/>
    <n v="1"/>
    <n v="126"/>
    <n v="32"/>
    <n v="837"/>
    <n v="150"/>
    <s v="No"/>
    <n v="8"/>
    <x v="0"/>
    <x v="1"/>
    <n v="181"/>
    <n v="0"/>
    <n v="4.7619047619047623E-3"/>
    <n v="0.93333333333333335"/>
    <x v="0"/>
  </r>
  <r>
    <s v="PR1057"/>
    <s v="Accounts Payable"/>
    <x v="1"/>
    <s v="S. Khan"/>
    <x v="2"/>
    <d v="1899-12-30T14:38:00"/>
    <d v="1899-12-30T17:02:00"/>
    <n v="144"/>
    <s v="Shared Service Team"/>
    <n v="63"/>
    <n v="56"/>
    <n v="1"/>
    <n v="0"/>
    <n v="17"/>
    <n v="52"/>
    <n v="1637"/>
    <n v="180"/>
    <s v="No"/>
    <n v="3"/>
    <x v="0"/>
    <x v="3"/>
    <n v="213"/>
    <n v="0"/>
    <n v="1.5873015873015872E-2"/>
    <n v="0.88888888888888884"/>
    <x v="0"/>
  </r>
  <r>
    <s v="PR1058"/>
    <s v="Dispatch Scheduling"/>
    <x v="0"/>
    <s v="P. Nair"/>
    <x v="2"/>
    <d v="1899-12-30T08:59:00"/>
    <d v="1899-12-30T09:50:00"/>
    <n v="51"/>
    <s v="Shared Service Team"/>
    <n v="399"/>
    <n v="379"/>
    <n v="25"/>
    <n v="12"/>
    <n v="50"/>
    <n v="37"/>
    <n v="883"/>
    <n v="240"/>
    <s v="Yes"/>
    <n v="0"/>
    <x v="2"/>
    <x v="3"/>
    <n v="138"/>
    <n v="1"/>
    <n v="6.2656641604010022E-2"/>
    <n v="0.94987468671679198"/>
    <x v="0"/>
  </r>
  <r>
    <s v="PR1059"/>
    <s v="Complaint Resolution"/>
    <x v="3"/>
    <s v="S. Khan"/>
    <x v="4"/>
    <d v="1899-12-30T15:29:00"/>
    <d v="1899-12-30T17:33:00"/>
    <n v="124"/>
    <s v="Process Manager"/>
    <n v="228"/>
    <n v="208"/>
    <n v="24"/>
    <n v="12"/>
    <n v="42"/>
    <n v="35"/>
    <n v="2647"/>
    <n v="150"/>
    <s v="No"/>
    <n v="9"/>
    <x v="0"/>
    <x v="4"/>
    <n v="201"/>
    <n v="0"/>
    <n v="0.10526315789473684"/>
    <n v="0.91228070175438591"/>
    <x v="0"/>
  </r>
  <r>
    <s v="PR1060"/>
    <s v="PO Approval"/>
    <x v="5"/>
    <s v="N. Singh"/>
    <x v="7"/>
    <d v="1899-12-30T08:27:00"/>
    <d v="1899-12-30T10:21:00"/>
    <n v="114"/>
    <s v="Junior Analyst"/>
    <n v="250"/>
    <n v="210"/>
    <n v="2"/>
    <n v="0"/>
    <n v="94"/>
    <n v="80"/>
    <n v="1390"/>
    <n v="150"/>
    <s v="No"/>
    <n v="4"/>
    <x v="0"/>
    <x v="1"/>
    <n v="288"/>
    <n v="0"/>
    <n v="8.0000000000000002E-3"/>
    <n v="0.84"/>
    <x v="0"/>
  </r>
  <r>
    <s v="PR1061"/>
    <s v="Purchase Requisition"/>
    <x v="5"/>
    <s v="P. Nair"/>
    <x v="5"/>
    <d v="1899-12-30T09:43:00"/>
    <d v="1899-12-30T11:18:00"/>
    <n v="95"/>
    <s v="System (Automated)"/>
    <n v="148"/>
    <n v="123"/>
    <n v="16"/>
    <n v="13"/>
    <n v="56"/>
    <n v="65"/>
    <n v="945"/>
    <n v="90"/>
    <s v="No"/>
    <n v="9"/>
    <x v="0"/>
    <x v="2"/>
    <n v="216"/>
    <n v="0"/>
    <n v="0.10810810810810811"/>
    <n v="0.83108108108108103"/>
    <x v="0"/>
  </r>
  <r>
    <s v="PR1062"/>
    <s v="Vendor Onboarding"/>
    <x v="5"/>
    <s v="S. Khan"/>
    <x v="7"/>
    <d v="1899-12-30T08:24:00"/>
    <d v="1899-12-30T09:05:00"/>
    <n v="41"/>
    <s v="Junior Analyst"/>
    <n v="226"/>
    <n v="224"/>
    <n v="13"/>
    <n v="6"/>
    <n v="31"/>
    <n v="12"/>
    <n v="467"/>
    <n v="150"/>
    <s v="Yes"/>
    <n v="0"/>
    <x v="2"/>
    <x v="3"/>
    <n v="84"/>
    <n v="1"/>
    <n v="5.7522123893805309E-2"/>
    <n v="0.99115044247787609"/>
    <x v="0"/>
  </r>
  <r>
    <s v="PR1063"/>
    <s v="Payroll Processing"/>
    <x v="4"/>
    <s v="D. Bose"/>
    <x v="3"/>
    <d v="1899-12-30T13:51:00"/>
    <d v="1899-12-30T14:01:00"/>
    <n v="10"/>
    <s v="Process Manager"/>
    <n v="517"/>
    <n v="436"/>
    <n v="6"/>
    <n v="3"/>
    <n v="4"/>
    <n v="36"/>
    <n v="526"/>
    <n v="240"/>
    <s v="Yes"/>
    <n v="2"/>
    <x v="2"/>
    <x v="3"/>
    <n v="50"/>
    <n v="1"/>
    <n v="1.160541586073501E-2"/>
    <n v="0.84332688588007731"/>
    <x v="0"/>
  </r>
  <r>
    <s v="PR1064"/>
    <s v="Dispatch Scheduling"/>
    <x v="0"/>
    <s v="N. Singh"/>
    <x v="1"/>
    <d v="1899-12-30T15:49:00"/>
    <d v="1899-12-30T17:53:00"/>
    <n v="124"/>
    <s v="Junior Analyst"/>
    <n v="398"/>
    <n v="341"/>
    <n v="35"/>
    <n v="12"/>
    <n v="44"/>
    <n v="57"/>
    <n v="1237"/>
    <n v="90"/>
    <s v="No"/>
    <n v="6"/>
    <x v="0"/>
    <x v="5"/>
    <n v="225"/>
    <n v="0"/>
    <n v="8.7939698492462318E-2"/>
    <n v="0.85678391959798994"/>
    <x v="0"/>
  </r>
  <r>
    <s v="PR1065"/>
    <s v="Accounts Payable"/>
    <x v="1"/>
    <s v="K. Rao"/>
    <x v="1"/>
    <d v="1899-12-30T13:54:00"/>
    <d v="1899-12-30T14:28:00"/>
    <n v="34"/>
    <s v="Shared Service Team"/>
    <n v="414"/>
    <n v="409"/>
    <n v="1"/>
    <n v="0"/>
    <n v="34"/>
    <n v="52"/>
    <n v="885"/>
    <n v="180"/>
    <s v="Yes"/>
    <n v="0"/>
    <x v="2"/>
    <x v="3"/>
    <n v="120"/>
    <n v="1"/>
    <n v="2.4154589371980675E-3"/>
    <n v="0.98792270531400961"/>
    <x v="0"/>
  </r>
  <r>
    <s v="PR1066"/>
    <s v="Employee Onboarding"/>
    <x v="4"/>
    <s v="M. Gupta"/>
    <x v="6"/>
    <d v="1899-12-30T13:11:00"/>
    <d v="1899-12-30T15:05:00"/>
    <n v="114"/>
    <s v="Junior Analyst"/>
    <n v="425"/>
    <n v="413"/>
    <n v="5"/>
    <n v="3"/>
    <n v="87"/>
    <n v="53"/>
    <n v="1159"/>
    <n v="90"/>
    <s v="No"/>
    <n v="1"/>
    <x v="0"/>
    <x v="1"/>
    <n v="254"/>
    <n v="0"/>
    <n v="1.1764705882352941E-2"/>
    <n v="0.97176470588235297"/>
    <x v="0"/>
  </r>
  <r>
    <s v="PR1067"/>
    <s v="Dispatch Scheduling"/>
    <x v="0"/>
    <s v="S. Khan"/>
    <x v="2"/>
    <d v="1899-12-30T12:36:00"/>
    <d v="1899-12-30T12:46:00"/>
    <n v="10"/>
    <s v="Process Manager"/>
    <n v="364"/>
    <n v="333"/>
    <n v="12"/>
    <n v="6"/>
    <n v="27"/>
    <n v="79"/>
    <n v="638"/>
    <n v="240"/>
    <s v="Yes"/>
    <n v="1"/>
    <x v="2"/>
    <x v="5"/>
    <n v="116"/>
    <n v="1"/>
    <n v="3.2967032967032968E-2"/>
    <n v="0.9148351648351648"/>
    <x v="0"/>
  </r>
  <r>
    <s v="PR1068"/>
    <s v="Complaint Resolution"/>
    <x v="3"/>
    <s v="K. Rao"/>
    <x v="0"/>
    <d v="1899-12-30T09:40:00"/>
    <d v="1899-12-30T10:23:00"/>
    <n v="43"/>
    <s v="Junior Analyst"/>
    <n v="85"/>
    <n v="71"/>
    <n v="0"/>
    <n v="0"/>
    <n v="28"/>
    <n v="32"/>
    <n v="574"/>
    <n v="240"/>
    <s v="Yes"/>
    <n v="0"/>
    <x v="2"/>
    <x v="3"/>
    <n v="103"/>
    <n v="1"/>
    <n v="0"/>
    <n v="0.83529411764705885"/>
    <x v="0"/>
  </r>
  <r>
    <s v="PR1069"/>
    <s v="Refund Processing"/>
    <x v="3"/>
    <s v="N. Singh"/>
    <x v="0"/>
    <d v="1899-12-30T13:53:00"/>
    <d v="1899-12-30T15:42:00"/>
    <n v="109"/>
    <s v="Senior Analyst"/>
    <n v="412"/>
    <n v="347"/>
    <n v="14"/>
    <n v="10"/>
    <n v="123"/>
    <n v="7"/>
    <n v="1740"/>
    <n v="90"/>
    <s v="No"/>
    <n v="3"/>
    <x v="0"/>
    <x v="1"/>
    <n v="239"/>
    <n v="0"/>
    <n v="3.3980582524271843E-2"/>
    <n v="0.84223300970873782"/>
    <x v="0"/>
  </r>
  <r>
    <s v="PR1070"/>
    <s v="Employee Onboarding"/>
    <x v="4"/>
    <s v="K. Rao"/>
    <x v="0"/>
    <d v="1899-12-30T13:11:00"/>
    <d v="1899-12-30T15:36:00"/>
    <n v="145"/>
    <s v="Senior Analyst"/>
    <n v="155"/>
    <n v="144"/>
    <n v="15"/>
    <n v="6"/>
    <n v="28"/>
    <n v="40"/>
    <n v="1988"/>
    <n v="210"/>
    <s v="No"/>
    <n v="1"/>
    <x v="0"/>
    <x v="4"/>
    <n v="213"/>
    <n v="0"/>
    <n v="9.6774193548387094E-2"/>
    <n v="0.92903225806451617"/>
    <x v="0"/>
  </r>
  <r>
    <s v="PR1071"/>
    <s v="PO Approval"/>
    <x v="5"/>
    <s v="P. Nair"/>
    <x v="1"/>
    <d v="1899-12-30T08:09:00"/>
    <d v="1899-12-30T09:39:00"/>
    <n v="90"/>
    <s v="Senior Analyst"/>
    <n v="488"/>
    <n v="450"/>
    <n v="40"/>
    <n v="25"/>
    <n v="35"/>
    <n v="15"/>
    <n v="1318"/>
    <n v="180"/>
    <s v="Yes"/>
    <n v="1"/>
    <x v="2"/>
    <x v="0"/>
    <n v="140"/>
    <n v="1"/>
    <n v="8.1967213114754092E-2"/>
    <n v="0.92213114754098358"/>
    <x v="0"/>
  </r>
  <r>
    <s v="PR1072"/>
    <s v="Dispatch Scheduling"/>
    <x v="0"/>
    <s v="S. Khan"/>
    <x v="5"/>
    <d v="1899-12-30T15:33:00"/>
    <d v="1899-12-30T15:41:00"/>
    <n v="8"/>
    <s v="Process Manager"/>
    <n v="286"/>
    <n v="279"/>
    <n v="29"/>
    <n v="27"/>
    <n v="18"/>
    <n v="2"/>
    <n v="261"/>
    <n v="150"/>
    <s v="Yes"/>
    <n v="1"/>
    <x v="2"/>
    <x v="2"/>
    <n v="28"/>
    <n v="1"/>
    <n v="0.10139860139860139"/>
    <n v="0.97552447552447552"/>
    <x v="0"/>
  </r>
  <r>
    <s v="PR1073"/>
    <s v="Invoice Processing"/>
    <x v="1"/>
    <s v="R. Iyer"/>
    <x v="3"/>
    <d v="1899-12-30T13:00:00"/>
    <d v="1899-12-30T14:48:00"/>
    <n v="108"/>
    <s v="Outsourced Vendor"/>
    <n v="136"/>
    <n v="122"/>
    <n v="15"/>
    <n v="12"/>
    <n v="11"/>
    <n v="32"/>
    <n v="1094"/>
    <n v="120"/>
    <s v="No"/>
    <n v="4"/>
    <x v="0"/>
    <x v="2"/>
    <n v="151"/>
    <n v="0"/>
    <n v="0.11029411764705882"/>
    <n v="0.8970588235294118"/>
    <x v="0"/>
  </r>
  <r>
    <s v="PR1074"/>
    <s v="Payroll Processing"/>
    <x v="4"/>
    <s v="K. Rao"/>
    <x v="5"/>
    <d v="1899-12-30T14:53:00"/>
    <d v="1899-12-30T15:17:00"/>
    <n v="24"/>
    <s v="Process Manager"/>
    <n v="67"/>
    <n v="65"/>
    <n v="2"/>
    <n v="1"/>
    <n v="86"/>
    <n v="51"/>
    <n v="832"/>
    <n v="180"/>
    <s v="Yes"/>
    <n v="7"/>
    <x v="1"/>
    <x v="1"/>
    <n v="161"/>
    <n v="1"/>
    <n v="2.9850746268656716E-2"/>
    <n v="0.97014925373134331"/>
    <x v="0"/>
  </r>
  <r>
    <s v="PR1075"/>
    <s v="PO Approval"/>
    <x v="5"/>
    <s v="N. Singh"/>
    <x v="5"/>
    <d v="1899-12-30T09:00:00"/>
    <d v="1899-12-30T11:18:00"/>
    <n v="138"/>
    <s v="Shared Service Team"/>
    <n v="396"/>
    <n v="354"/>
    <n v="6"/>
    <n v="1"/>
    <n v="24"/>
    <n v="28"/>
    <n v="1511"/>
    <n v="150"/>
    <s v="No"/>
    <n v="9"/>
    <x v="0"/>
    <x v="3"/>
    <n v="190"/>
    <n v="0"/>
    <n v="1.5151515151515152E-2"/>
    <n v="0.89393939393939392"/>
    <x v="0"/>
  </r>
  <r>
    <s v="PR1076"/>
    <s v="Quotation Approval"/>
    <x v="2"/>
    <s v="M. Gupta"/>
    <x v="0"/>
    <d v="1899-12-30T14:47:00"/>
    <d v="1899-12-30T17:02:00"/>
    <n v="135"/>
    <s v="Senior Analyst"/>
    <n v="470"/>
    <n v="439"/>
    <n v="32"/>
    <n v="24"/>
    <n v="102"/>
    <n v="61"/>
    <n v="1941"/>
    <n v="180"/>
    <s v="No"/>
    <n v="3"/>
    <x v="0"/>
    <x v="1"/>
    <n v="298"/>
    <n v="0"/>
    <n v="6.8085106382978725E-2"/>
    <n v="0.93404255319148932"/>
    <x v="0"/>
  </r>
  <r>
    <s v="PR1077"/>
    <s v="PO Approval"/>
    <x v="5"/>
    <s v="R. Iyer"/>
    <x v="1"/>
    <d v="1899-12-30T08:39:00"/>
    <d v="1899-12-30T09:05:00"/>
    <n v="26"/>
    <s v="Senior Analyst"/>
    <n v="261"/>
    <n v="251"/>
    <n v="0"/>
    <n v="0"/>
    <n v="103"/>
    <n v="6"/>
    <n v="605"/>
    <n v="240"/>
    <s v="Yes"/>
    <n v="0"/>
    <x v="2"/>
    <x v="1"/>
    <n v="135"/>
    <n v="1"/>
    <n v="0"/>
    <n v="0.96168582375478928"/>
    <x v="0"/>
  </r>
  <r>
    <s v="PR1078"/>
    <s v="Leave Approval"/>
    <x v="4"/>
    <s v="R. Iyer"/>
    <x v="7"/>
    <d v="1899-12-30T14:08:00"/>
    <d v="1899-12-30T16:22:00"/>
    <n v="134"/>
    <s v="Junior Analyst"/>
    <n v="456"/>
    <n v="385"/>
    <n v="3"/>
    <n v="0"/>
    <n v="113"/>
    <n v="64"/>
    <n v="1538"/>
    <n v="180"/>
    <s v="No"/>
    <n v="6"/>
    <x v="0"/>
    <x v="1"/>
    <n v="311"/>
    <n v="0"/>
    <n v="6.5789473684210523E-3"/>
    <n v="0.8442982456140351"/>
    <x v="0"/>
  </r>
  <r>
    <s v="PR1079"/>
    <s v="Accounts Payable"/>
    <x v="1"/>
    <s v="N. Singh"/>
    <x v="6"/>
    <d v="1899-12-30T14:18:00"/>
    <d v="1899-12-30T15:55:00"/>
    <n v="97"/>
    <s v="Senior Analyst"/>
    <n v="125"/>
    <n v="120"/>
    <n v="10"/>
    <n v="5"/>
    <n v="12"/>
    <n v="76"/>
    <n v="1598"/>
    <n v="240"/>
    <s v="Yes"/>
    <n v="2"/>
    <x v="2"/>
    <x v="5"/>
    <n v="185"/>
    <n v="1"/>
    <n v="0.08"/>
    <n v="0.96"/>
    <x v="0"/>
  </r>
  <r>
    <s v="PR1080"/>
    <s v="Order Fulfilment"/>
    <x v="0"/>
    <s v="N. Singh"/>
    <x v="7"/>
    <d v="1899-12-30T15:27:00"/>
    <d v="1899-12-30T17:33:00"/>
    <n v="126"/>
    <s v="Shared Service Team"/>
    <n v="509"/>
    <n v="474"/>
    <n v="40"/>
    <n v="35"/>
    <n v="106"/>
    <n v="43"/>
    <n v="1406"/>
    <n v="180"/>
    <s v="No"/>
    <n v="2"/>
    <x v="0"/>
    <x v="1"/>
    <n v="275"/>
    <n v="0"/>
    <n v="7.8585461689587424E-2"/>
    <n v="0.93123772102161095"/>
    <x v="0"/>
  </r>
  <r>
    <s v="PR1081"/>
    <s v="Purchase Requisition"/>
    <x v="5"/>
    <s v="M. Gupta"/>
    <x v="1"/>
    <d v="1899-12-30T09:17:00"/>
    <d v="1899-12-30T11:46:00"/>
    <n v="149"/>
    <s v="Senior Analyst"/>
    <n v="121"/>
    <n v="105"/>
    <n v="14"/>
    <n v="11"/>
    <n v="101"/>
    <n v="70"/>
    <n v="2405"/>
    <n v="150"/>
    <s v="No"/>
    <n v="8"/>
    <x v="0"/>
    <x v="1"/>
    <n v="320"/>
    <n v="0"/>
    <n v="0.11570247933884298"/>
    <n v="0.86776859504132231"/>
    <x v="0"/>
  </r>
  <r>
    <s v="PR1082"/>
    <s v="Quotation Approval"/>
    <x v="2"/>
    <s v="R. Iyer"/>
    <x v="2"/>
    <d v="1899-12-30T08:26:00"/>
    <d v="1899-12-30T10:02:00"/>
    <n v="96"/>
    <s v="Outsourced Vendor"/>
    <n v="260"/>
    <n v="221"/>
    <n v="24"/>
    <n v="22"/>
    <n v="36"/>
    <n v="28"/>
    <n v="1012"/>
    <n v="180"/>
    <s v="Yes"/>
    <n v="2"/>
    <x v="1"/>
    <x v="2"/>
    <n v="160"/>
    <n v="1"/>
    <n v="9.2307692307692313E-2"/>
    <n v="0.85"/>
    <x v="0"/>
  </r>
  <r>
    <s v="PR1083"/>
    <s v="Purchase Requisition"/>
    <x v="5"/>
    <s v="D. Bose"/>
    <x v="4"/>
    <d v="1899-12-30T15:28:00"/>
    <d v="1899-12-30T17:36:00"/>
    <n v="128"/>
    <s v="Outsourced Vendor"/>
    <n v="124"/>
    <n v="115"/>
    <n v="14"/>
    <n v="5"/>
    <n v="99"/>
    <n v="6"/>
    <n v="1351"/>
    <n v="90"/>
    <s v="No"/>
    <n v="9"/>
    <x v="0"/>
    <x v="1"/>
    <n v="233"/>
    <n v="0"/>
    <n v="0.11290322580645161"/>
    <n v="0.92741935483870963"/>
    <x v="0"/>
  </r>
  <r>
    <s v="PR1084"/>
    <s v="Payroll Processing"/>
    <x v="4"/>
    <s v="R. Iyer"/>
    <x v="1"/>
    <d v="1899-12-30T12:35:00"/>
    <d v="1899-12-30T12:49:00"/>
    <n v="14"/>
    <s v="Process Manager"/>
    <n v="375"/>
    <n v="340"/>
    <n v="21"/>
    <n v="9"/>
    <n v="123"/>
    <n v="29"/>
    <n v="888"/>
    <n v="150"/>
    <s v="No"/>
    <n v="5"/>
    <x v="0"/>
    <x v="1"/>
    <n v="166"/>
    <n v="0"/>
    <n v="5.6000000000000001E-2"/>
    <n v="0.90666666666666662"/>
    <x v="0"/>
  </r>
  <r>
    <s v="PR1085"/>
    <s v="Lead Qualification"/>
    <x v="2"/>
    <s v="D. Bose"/>
    <x v="7"/>
    <d v="1899-12-30T14:51:00"/>
    <d v="1899-12-30T17:20:00"/>
    <n v="149"/>
    <s v="System (Automated)"/>
    <n v="312"/>
    <n v="266"/>
    <n v="32"/>
    <n v="21"/>
    <n v="84"/>
    <n v="27"/>
    <n v="884"/>
    <n v="90"/>
    <s v="No"/>
    <n v="4"/>
    <x v="0"/>
    <x v="0"/>
    <n v="260"/>
    <n v="0"/>
    <n v="0.10256410256410256"/>
    <n v="0.85256410256410253"/>
    <x v="0"/>
  </r>
  <r>
    <s v="PR1086"/>
    <s v="Vendor Onboarding"/>
    <x v="5"/>
    <s v="S. Khan"/>
    <x v="2"/>
    <d v="1899-12-30T11:16:00"/>
    <d v="1899-12-30T11:28:00"/>
    <n v="12"/>
    <s v="Outsourced Vendor"/>
    <n v="357"/>
    <n v="298"/>
    <n v="29"/>
    <n v="16"/>
    <n v="7"/>
    <n v="48"/>
    <n v="637"/>
    <n v="120"/>
    <s v="Yes"/>
    <n v="0"/>
    <x v="2"/>
    <x v="0"/>
    <n v="67"/>
    <n v="1"/>
    <n v="8.1232492997198882E-2"/>
    <n v="0.834733893557423"/>
    <x v="0"/>
  </r>
  <r>
    <s v="PR1087"/>
    <s v="Expense Reimbursement"/>
    <x v="1"/>
    <s v="N. Singh"/>
    <x v="5"/>
    <d v="1899-12-30T10:24:00"/>
    <d v="1899-12-30T11:29:00"/>
    <n v="65"/>
    <s v="Senior Analyst"/>
    <n v="165"/>
    <n v="138"/>
    <n v="6"/>
    <n v="3"/>
    <n v="121"/>
    <n v="50"/>
    <n v="1333"/>
    <n v="90"/>
    <s v="No"/>
    <n v="3"/>
    <x v="0"/>
    <x v="1"/>
    <n v="236"/>
    <n v="0"/>
    <n v="3.6363636363636362E-2"/>
    <n v="0.83636363636363631"/>
    <x v="0"/>
  </r>
  <r>
    <s v="PR1088"/>
    <s v="Quotation Approval"/>
    <x v="2"/>
    <s v="N. Singh"/>
    <x v="6"/>
    <d v="1899-12-30T11:52:00"/>
    <d v="1899-12-30T12:24:00"/>
    <n v="32"/>
    <s v="Senior Analyst"/>
    <n v="355"/>
    <n v="314"/>
    <n v="42"/>
    <n v="39"/>
    <n v="104"/>
    <n v="35"/>
    <n v="820"/>
    <n v="120"/>
    <s v="No"/>
    <n v="7"/>
    <x v="0"/>
    <x v="1"/>
    <n v="171"/>
    <n v="0"/>
    <n v="0.11830985915492957"/>
    <n v="0.88450704225352117"/>
    <x v="0"/>
  </r>
  <r>
    <s v="PR1089"/>
    <s v="Vendor Onboarding"/>
    <x v="5"/>
    <s v="D. Bose"/>
    <x v="6"/>
    <d v="1899-12-30T14:50:00"/>
    <d v="1899-12-30T16:42:00"/>
    <n v="112"/>
    <s v="Senior Analyst"/>
    <n v="162"/>
    <n v="141"/>
    <n v="2"/>
    <n v="1"/>
    <n v="37"/>
    <n v="76"/>
    <n v="1631"/>
    <n v="240"/>
    <s v="Yes"/>
    <n v="5"/>
    <x v="1"/>
    <x v="5"/>
    <n v="225"/>
    <n v="1"/>
    <n v="1.2345679012345678E-2"/>
    <n v="0.87037037037037035"/>
    <x v="0"/>
  </r>
  <r>
    <s v="PR1090"/>
    <s v="Purchase Requisition"/>
    <x v="5"/>
    <s v="M. Gupta"/>
    <x v="1"/>
    <d v="1899-12-30T10:31:00"/>
    <d v="1899-12-30T11:37:00"/>
    <n v="66"/>
    <s v="Senior Analyst"/>
    <n v="446"/>
    <n v="444"/>
    <n v="16"/>
    <n v="10"/>
    <n v="92"/>
    <n v="13"/>
    <n v="1324"/>
    <n v="210"/>
    <s v="Yes"/>
    <n v="6"/>
    <x v="1"/>
    <x v="1"/>
    <n v="171"/>
    <n v="1"/>
    <n v="3.5874439461883408E-2"/>
    <n v="0.99551569506726456"/>
    <x v="0"/>
  </r>
  <r>
    <s v="PR1091"/>
    <s v="Quality Inspection"/>
    <x v="0"/>
    <s v="M. Gupta"/>
    <x v="5"/>
    <d v="1899-12-30T11:27:00"/>
    <d v="1899-12-30T11:36:00"/>
    <n v="9"/>
    <s v="Outsourced Vendor"/>
    <n v="424"/>
    <n v="411"/>
    <n v="43"/>
    <n v="40"/>
    <n v="58"/>
    <n v="78"/>
    <n v="762"/>
    <n v="120"/>
    <s v="No"/>
    <n v="1"/>
    <x v="0"/>
    <x v="2"/>
    <n v="145"/>
    <n v="0"/>
    <n v="0.10141509433962265"/>
    <n v="0.96933962264150941"/>
    <x v="0"/>
  </r>
  <r>
    <s v="PR1092"/>
    <s v="Query Handling"/>
    <x v="3"/>
    <s v="P. Nair"/>
    <x v="5"/>
    <d v="1899-12-30T11:37:00"/>
    <d v="1899-12-30T12:05:00"/>
    <n v="28"/>
    <s v="System (Automated)"/>
    <n v="456"/>
    <n v="433"/>
    <n v="23"/>
    <n v="8"/>
    <n v="97"/>
    <n v="24"/>
    <n v="406"/>
    <n v="240"/>
    <s v="Yes"/>
    <n v="1"/>
    <x v="2"/>
    <x v="1"/>
    <n v="149"/>
    <n v="1"/>
    <n v="5.0438596491228067E-2"/>
    <n v="0.94956140350877194"/>
    <x v="0"/>
  </r>
  <r>
    <s v="PR1093"/>
    <s v="Expense Reimbursement"/>
    <x v="1"/>
    <s v="A. Mehta"/>
    <x v="4"/>
    <d v="1899-12-30T14:25:00"/>
    <d v="1899-12-30T16:46:00"/>
    <n v="141"/>
    <s v="Senior Analyst"/>
    <n v="356"/>
    <n v="301"/>
    <n v="41"/>
    <n v="24"/>
    <n v="118"/>
    <n v="60"/>
    <n v="2113"/>
    <n v="210"/>
    <s v="No"/>
    <n v="6"/>
    <x v="0"/>
    <x v="1"/>
    <n v="319"/>
    <n v="0"/>
    <n v="0.1151685393258427"/>
    <n v="0.8455056179775281"/>
    <x v="0"/>
  </r>
  <r>
    <s v="PR1094"/>
    <s v="Query Handling"/>
    <x v="3"/>
    <s v="K. Rao"/>
    <x v="0"/>
    <d v="1899-12-30T10:58:00"/>
    <d v="1899-12-30T12:42:00"/>
    <n v="104"/>
    <s v="System (Automated)"/>
    <n v="130"/>
    <n v="118"/>
    <n v="7"/>
    <n v="2"/>
    <n v="25"/>
    <n v="57"/>
    <n v="680"/>
    <n v="150"/>
    <s v="No"/>
    <n v="2"/>
    <x v="0"/>
    <x v="5"/>
    <n v="186"/>
    <n v="0"/>
    <n v="5.3846153846153849E-2"/>
    <n v="0.90769230769230769"/>
    <x v="0"/>
  </r>
  <r>
    <s v="PR1095"/>
    <s v="PO Approval"/>
    <x v="5"/>
    <s v="D. Bose"/>
    <x v="2"/>
    <d v="1899-12-30T10:07:00"/>
    <d v="1899-12-30T12:26:00"/>
    <n v="139"/>
    <s v="Shared Service Team"/>
    <n v="90"/>
    <n v="85"/>
    <n v="7"/>
    <n v="6"/>
    <n v="62"/>
    <n v="39"/>
    <n v="1599"/>
    <n v="240"/>
    <s v="No"/>
    <n v="7"/>
    <x v="1"/>
    <x v="2"/>
    <n v="240"/>
    <n v="0"/>
    <n v="7.7777777777777779E-2"/>
    <n v="0.94444444444444442"/>
    <x v="0"/>
  </r>
  <r>
    <s v="PR1096"/>
    <s v="Complaint Resolution"/>
    <x v="3"/>
    <s v="S. Khan"/>
    <x v="1"/>
    <d v="1899-12-30T11:48:00"/>
    <d v="1899-12-30T14:02:00"/>
    <n v="134"/>
    <s v="Senior Analyst"/>
    <n v="182"/>
    <n v="176"/>
    <n v="8"/>
    <n v="6"/>
    <n v="112"/>
    <n v="58"/>
    <n v="1933"/>
    <n v="240"/>
    <s v="No"/>
    <n v="7"/>
    <x v="0"/>
    <x v="1"/>
    <n v="304"/>
    <n v="0"/>
    <n v="4.3956043956043959E-2"/>
    <n v="0.96703296703296704"/>
    <x v="0"/>
  </r>
  <r>
    <s v="PR1097"/>
    <s v="Query Handling"/>
    <x v="3"/>
    <s v="S. Khan"/>
    <x v="7"/>
    <d v="1899-12-30T13:59:00"/>
    <d v="1899-12-30T14:51:00"/>
    <n v="52"/>
    <s v="Junior Analyst"/>
    <n v="77"/>
    <n v="76"/>
    <n v="5"/>
    <n v="1"/>
    <n v="78"/>
    <n v="54"/>
    <n v="961"/>
    <n v="180"/>
    <s v="No"/>
    <n v="9"/>
    <x v="0"/>
    <x v="3"/>
    <n v="184"/>
    <n v="0"/>
    <n v="6.4935064935064929E-2"/>
    <n v="0.98701298701298701"/>
    <x v="0"/>
  </r>
  <r>
    <s v="PR1098"/>
    <s v="Contract Processing"/>
    <x v="2"/>
    <s v="K. Rao"/>
    <x v="2"/>
    <d v="1899-12-30T11:11:00"/>
    <d v="1899-12-30T13:15:00"/>
    <n v="124"/>
    <s v="Junior Analyst"/>
    <n v="419"/>
    <n v="344"/>
    <n v="12"/>
    <n v="3"/>
    <n v="87"/>
    <n v="30"/>
    <n v="1256"/>
    <n v="150"/>
    <s v="No"/>
    <n v="3"/>
    <x v="0"/>
    <x v="1"/>
    <n v="241"/>
    <n v="0"/>
    <n v="2.8639618138424822E-2"/>
    <n v="0.82100238663484482"/>
    <x v="0"/>
  </r>
  <r>
    <s v="PR1099"/>
    <s v="Refund Processing"/>
    <x v="3"/>
    <s v="R. Iyer"/>
    <x v="5"/>
    <d v="1899-12-30T14:45:00"/>
    <d v="1899-12-30T15:51:00"/>
    <n v="66"/>
    <s v="System (Automated)"/>
    <n v="306"/>
    <n v="255"/>
    <n v="35"/>
    <n v="26"/>
    <n v="60"/>
    <n v="42"/>
    <n v="770"/>
    <n v="90"/>
    <s v="No"/>
    <n v="6"/>
    <x v="0"/>
    <x v="2"/>
    <n v="168"/>
    <n v="0"/>
    <n v="0.11437908496732026"/>
    <n v="0.83333333333333337"/>
    <x v="0"/>
  </r>
  <r>
    <s v="PR1100"/>
    <s v="Contract Processing"/>
    <x v="2"/>
    <s v="M. Gupta"/>
    <x v="3"/>
    <d v="1899-12-30T10:01:00"/>
    <d v="1899-12-30T10:26:00"/>
    <n v="25"/>
    <s v="Senior Analyst"/>
    <n v="307"/>
    <n v="284"/>
    <n v="2"/>
    <n v="0"/>
    <n v="8"/>
    <n v="74"/>
    <n v="754"/>
    <n v="150"/>
    <s v="Yes"/>
    <n v="0"/>
    <x v="2"/>
    <x v="5"/>
    <n v="107"/>
    <n v="1"/>
    <n v="6.5146579804560263E-3"/>
    <n v="0.92508143322475567"/>
    <x v="0"/>
  </r>
  <r>
    <s v="PR1101"/>
    <s v="Vendor Onboarding"/>
    <x v="5"/>
    <s v="P. Nair"/>
    <x v="0"/>
    <d v="1899-12-30T11:44:00"/>
    <d v="1899-12-30T12:51:00"/>
    <n v="67"/>
    <s v="Outsourced Vendor"/>
    <n v="430"/>
    <n v="404"/>
    <n v="22"/>
    <n v="10"/>
    <n v="66"/>
    <n v="13"/>
    <n v="868"/>
    <n v="180"/>
    <s v="Yes"/>
    <n v="7"/>
    <x v="1"/>
    <x v="3"/>
    <n v="146"/>
    <n v="1"/>
    <n v="5.1162790697674418E-2"/>
    <n v="0.93953488372093019"/>
    <x v="0"/>
  </r>
  <r>
    <s v="PR1102"/>
    <s v="Complaint Resolution"/>
    <x v="3"/>
    <s v="D. Bose"/>
    <x v="3"/>
    <d v="1899-12-30T15:00:00"/>
    <d v="1899-12-30T16:50:00"/>
    <n v="110"/>
    <s v="System (Automated)"/>
    <n v="174"/>
    <n v="160"/>
    <n v="4"/>
    <n v="1"/>
    <n v="37"/>
    <n v="10"/>
    <n v="690"/>
    <n v="120"/>
    <s v="No"/>
    <n v="8"/>
    <x v="0"/>
    <x v="3"/>
    <n v="157"/>
    <n v="0"/>
    <n v="2.2988505747126436E-2"/>
    <n v="0.91954022988505746"/>
    <x v="0"/>
  </r>
  <r>
    <s v="PR1103"/>
    <s v="Quality Inspection"/>
    <x v="0"/>
    <s v="A. Mehta"/>
    <x v="5"/>
    <d v="1899-12-30T11:25:00"/>
    <d v="1899-12-30T11:53:00"/>
    <n v="28"/>
    <s v="Process Manager"/>
    <n v="484"/>
    <n v="439"/>
    <n v="1"/>
    <n v="0"/>
    <n v="72"/>
    <n v="48"/>
    <n v="931"/>
    <n v="180"/>
    <s v="Yes"/>
    <n v="3"/>
    <x v="1"/>
    <x v="3"/>
    <n v="148"/>
    <n v="1"/>
    <n v="2.0661157024793389E-3"/>
    <n v="0.90702479338842978"/>
    <x v="0"/>
  </r>
  <r>
    <s v="PR1104"/>
    <s v="Invoice Processing"/>
    <x v="1"/>
    <s v="A. Mehta"/>
    <x v="2"/>
    <d v="1899-12-30T08:55:00"/>
    <d v="1899-12-30T11:22:00"/>
    <n v="147"/>
    <s v="Junior Analyst"/>
    <n v="435"/>
    <n v="375"/>
    <n v="23"/>
    <n v="9"/>
    <n v="118"/>
    <n v="30"/>
    <n v="1308"/>
    <n v="120"/>
    <s v="No"/>
    <n v="4"/>
    <x v="0"/>
    <x v="1"/>
    <n v="295"/>
    <n v="0"/>
    <n v="5.2873563218390804E-2"/>
    <n v="0.86206896551724133"/>
    <x v="0"/>
  </r>
  <r>
    <s v="PR1105"/>
    <s v="Refund Processing"/>
    <x v="3"/>
    <s v="M. Gupta"/>
    <x v="4"/>
    <d v="1899-12-30T10:45:00"/>
    <d v="1899-12-30T12:38:00"/>
    <n v="113"/>
    <s v="Junior Analyst"/>
    <n v="312"/>
    <n v="300"/>
    <n v="23"/>
    <n v="20"/>
    <n v="107"/>
    <n v="69"/>
    <n v="1396"/>
    <n v="180"/>
    <s v="No"/>
    <n v="7"/>
    <x v="0"/>
    <x v="1"/>
    <n v="289"/>
    <n v="0"/>
    <n v="7.371794871794872E-2"/>
    <n v="0.96153846153846156"/>
    <x v="0"/>
  </r>
  <r>
    <s v="PR1106"/>
    <s v="Lead Qualification"/>
    <x v="2"/>
    <s v="P. Nair"/>
    <x v="2"/>
    <d v="1899-12-30T12:18:00"/>
    <d v="1899-12-30T13:25:00"/>
    <n v="67"/>
    <s v="Junior Analyst"/>
    <n v="290"/>
    <n v="281"/>
    <n v="14"/>
    <n v="4"/>
    <n v="31"/>
    <n v="0"/>
    <n v="545"/>
    <n v="180"/>
    <s v="Yes"/>
    <n v="1"/>
    <x v="2"/>
    <x v="3"/>
    <n v="98"/>
    <n v="1"/>
    <n v="4.8275862068965517E-2"/>
    <n v="0.96896551724137936"/>
    <x v="0"/>
  </r>
  <r>
    <s v="PR1107"/>
    <s v="Order Fulfilment"/>
    <x v="0"/>
    <s v="S. Khan"/>
    <x v="6"/>
    <d v="1899-12-30T13:20:00"/>
    <d v="1899-12-30T15:18:00"/>
    <n v="118"/>
    <s v="System (Automated)"/>
    <n v="433"/>
    <n v="363"/>
    <n v="22"/>
    <n v="16"/>
    <n v="0"/>
    <n v="69"/>
    <n v="847"/>
    <n v="150"/>
    <s v="Yes"/>
    <n v="3"/>
    <x v="0"/>
    <x v="2"/>
    <n v="187"/>
    <n v="1"/>
    <n v="5.0808314087759814E-2"/>
    <n v="0.8383371824480369"/>
    <x v="0"/>
  </r>
  <r>
    <s v="PR1108"/>
    <s v="Refund Processing"/>
    <x v="3"/>
    <s v="M. Gupta"/>
    <x v="1"/>
    <d v="1899-12-30T08:18:00"/>
    <d v="1899-12-30T10:02:00"/>
    <n v="104"/>
    <s v="Senior Analyst"/>
    <n v="120"/>
    <n v="106"/>
    <n v="11"/>
    <n v="9"/>
    <n v="110"/>
    <n v="45"/>
    <n v="1873"/>
    <n v="210"/>
    <s v="No"/>
    <n v="8"/>
    <x v="0"/>
    <x v="1"/>
    <n v="259"/>
    <n v="0"/>
    <n v="9.166666666666666E-2"/>
    <n v="0.8833333333333333"/>
    <x v="0"/>
  </r>
  <r>
    <s v="PR1109"/>
    <s v="Query Handling"/>
    <x v="3"/>
    <s v="P. Nair"/>
    <x v="1"/>
    <d v="1899-12-30T09:12:00"/>
    <d v="1899-12-30T11:28:00"/>
    <n v="136"/>
    <s v="Senior Analyst"/>
    <n v="476"/>
    <n v="473"/>
    <n v="15"/>
    <n v="5"/>
    <n v="43"/>
    <n v="12"/>
    <n v="1765"/>
    <n v="150"/>
    <s v="No"/>
    <n v="6"/>
    <x v="0"/>
    <x v="3"/>
    <n v="191"/>
    <n v="0"/>
    <n v="3.1512605042016806E-2"/>
    <n v="0.99369747899159666"/>
    <x v="0"/>
  </r>
  <r>
    <s v="PR1110"/>
    <s v="Order Fulfilment"/>
    <x v="0"/>
    <s v="A. Mehta"/>
    <x v="5"/>
    <d v="1899-12-30T13:41:00"/>
    <d v="1899-12-30T14:15:00"/>
    <n v="34"/>
    <s v="Outsourced Vendor"/>
    <n v="369"/>
    <n v="328"/>
    <n v="34"/>
    <n v="19"/>
    <n v="96"/>
    <n v="30"/>
    <n v="616"/>
    <n v="150"/>
    <s v="Yes"/>
    <n v="2"/>
    <x v="0"/>
    <x v="1"/>
    <n v="160"/>
    <n v="1"/>
    <n v="9.2140921409214094E-2"/>
    <n v="0.8888888888888888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CEB0B1-C1CF-4023-BE86-095F56A69A86}" name="pt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J8" firstHeaderRow="1" firstDataRow="1" firstDataCol="1"/>
  <pivotFields count="26">
    <pivotField showAll="0"/>
    <pivotField showAll="0"/>
    <pivotField axis="axisRow" showAll="0">
      <items count="7">
        <item x="3"/>
        <item x="1"/>
        <item x="4"/>
        <item x="0"/>
        <item x="5"/>
        <item x="2"/>
        <item t="default"/>
      </items>
    </pivotField>
    <pivotField showAll="0"/>
    <pivotField showAll="0"/>
    <pivotField numFmtId="20" showAll="0"/>
    <pivotField numFmtId="20"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7">
        <item x="1"/>
        <item x="3"/>
        <item x="4"/>
        <item x="5"/>
        <item x="2"/>
        <item x="0"/>
        <item t="default"/>
      </items>
    </pivotField>
    <pivotField dataField="1"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Avg Cycle Time" fld="21"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4C2292-4929-46D9-BE19-306FC715BBF4}" name="pt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3" firstHeaderRow="0" firstDataRow="1" firstDataCol="1"/>
  <pivotFields count="26">
    <pivotField showAll="0"/>
    <pivotField showAll="0"/>
    <pivotField showAll="0">
      <items count="7">
        <item x="3"/>
        <item x="1"/>
        <item x="4"/>
        <item x="0"/>
        <item x="5"/>
        <item x="2"/>
        <item t="default"/>
      </items>
    </pivotField>
    <pivotField showAll="0"/>
    <pivotField showAll="0"/>
    <pivotField numFmtId="20" showAll="0"/>
    <pivotField numFmtId="20"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1"/>
        <item x="0"/>
        <item x="2"/>
        <item t="default"/>
      </items>
    </pivotField>
    <pivotField showAll="0">
      <items count="7">
        <item x="1"/>
        <item x="3"/>
        <item x="4"/>
        <item x="5"/>
        <item x="2"/>
        <item x="0"/>
        <item t="default"/>
      </items>
    </pivotField>
    <pivotField dataField="1" showAll="0"/>
    <pivotField dataField="1" showAll="0"/>
    <pivotField dataField="1" showAll="0"/>
    <pivotField dataField="1" showAll="0"/>
    <pivotField axis="axisRow" showAll="0">
      <items count="2">
        <item x="0"/>
        <item t="default"/>
      </items>
    </pivotField>
  </pivotFields>
  <rowFields count="1">
    <field x="25"/>
  </rowFields>
  <rowItems count="2">
    <i>
      <x/>
    </i>
    <i t="grand">
      <x/>
    </i>
  </rowItems>
  <colFields count="1">
    <field x="-2"/>
  </colFields>
  <colItems count="5">
    <i>
      <x/>
    </i>
    <i i="1">
      <x v="1"/>
    </i>
    <i i="2">
      <x v="2"/>
    </i>
    <i i="3">
      <x v="3"/>
    </i>
    <i i="4">
      <x v="4"/>
    </i>
  </colItems>
  <dataFields count="5">
    <dataField name="Avg Cycle Time" fld="21" subtotal="average" baseField="0" baseItem="0" numFmtId="164"/>
    <dataField name="SLA Achievement" fld="22" subtotal="average" baseField="0" baseItem="0" numFmtId="165"/>
    <dataField name="Avg Process Cost" fld="15" subtotal="average" baseField="0" baseItem="0" numFmtId="166"/>
    <dataField name="Avg Error Rate" fld="23" subtotal="average" baseField="0" baseItem="0" numFmtId="165"/>
    <dataField name="Avg Productivity" fld="24"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DA1377-2119-4E17-AA1F-C7DAC99D1D6C}" name="pt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76:J83" firstHeaderRow="1" firstDataRow="1" firstDataCol="1"/>
  <pivotFields count="26">
    <pivotField showAll="0"/>
    <pivotField showAll="0"/>
    <pivotField axis="axisRow" showAll="0">
      <items count="7">
        <item x="3"/>
        <item x="1"/>
        <item x="4"/>
        <item x="0"/>
        <item x="5"/>
        <item x="2"/>
        <item t="default"/>
      </items>
    </pivotField>
    <pivotField showAll="0"/>
    <pivotField showAll="0"/>
    <pivotField numFmtId="20" showAll="0"/>
    <pivotField numFmtId="20"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7">
        <item x="1"/>
        <item x="3"/>
        <item x="4"/>
        <item x="5"/>
        <item x="2"/>
        <item x="0"/>
        <item t="default"/>
      </items>
    </pivotField>
    <pivotField showAll="0"/>
    <pivotField dataField="1" showAll="0"/>
    <pivotField showAll="0"/>
    <pivotField showAll="0"/>
    <pivotField showAll="0"/>
  </pivotFields>
  <rowFields count="1">
    <field x="2"/>
  </rowFields>
  <rowItems count="7">
    <i>
      <x/>
    </i>
    <i>
      <x v="1"/>
    </i>
    <i>
      <x v="2"/>
    </i>
    <i>
      <x v="3"/>
    </i>
    <i>
      <x v="4"/>
    </i>
    <i>
      <x v="5"/>
    </i>
    <i t="grand">
      <x/>
    </i>
  </rowItems>
  <colItems count="1">
    <i/>
  </colItems>
  <dataFields count="1">
    <dataField name="SLA %" fld="2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33AF7E-5DF2-4682-A396-3DF908F2DF9E}" name="pt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51:J58" firstHeaderRow="1" firstDataRow="1" firstDataCol="1"/>
  <pivotFields count="26">
    <pivotField showAll="0"/>
    <pivotField showAll="0"/>
    <pivotField axis="axisRow" showAll="0">
      <items count="7">
        <item x="3"/>
        <item x="1"/>
        <item x="4"/>
        <item x="0"/>
        <item x="5"/>
        <item x="2"/>
        <item t="default"/>
      </items>
    </pivotField>
    <pivotField showAll="0"/>
    <pivotField showAll="0"/>
    <pivotField numFmtId="20" showAll="0"/>
    <pivotField numFmtId="20"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1"/>
        <item x="0"/>
        <item x="2"/>
        <item t="default"/>
      </items>
    </pivotField>
    <pivotField showAll="0">
      <items count="7">
        <item x="1"/>
        <item x="3"/>
        <item x="4"/>
        <item x="5"/>
        <item x="2"/>
        <item x="0"/>
        <item t="default"/>
      </items>
    </pivotField>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Total Cost" fld="15"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BD0151-F26E-4B7C-9FF6-4E26D31C873A}" name="pt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26:J35" firstHeaderRow="1" firstDataRow="1" firstDataCol="1"/>
  <pivotFields count="26">
    <pivotField showAll="0"/>
    <pivotField showAll="0"/>
    <pivotField showAll="0">
      <items count="7">
        <item x="3"/>
        <item x="1"/>
        <item x="4"/>
        <item x="0"/>
        <item x="5"/>
        <item x="2"/>
        <item t="default"/>
      </items>
    </pivotField>
    <pivotField showAll="0"/>
    <pivotField axis="axisRow" showAll="0">
      <items count="9">
        <item x="3"/>
        <item x="2"/>
        <item x="0"/>
        <item x="1"/>
        <item x="5"/>
        <item x="4"/>
        <item x="7"/>
        <item x="6"/>
        <item t="default"/>
      </items>
    </pivotField>
    <pivotField numFmtId="20" showAll="0"/>
    <pivotField numFmtId="20"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
        <item x="1"/>
        <item x="0"/>
        <item x="2"/>
        <item t="default"/>
      </items>
    </pivotField>
    <pivotField showAll="0">
      <items count="7">
        <item x="1"/>
        <item x="3"/>
        <item x="4"/>
        <item x="5"/>
        <item x="2"/>
        <item x="0"/>
        <item t="default"/>
      </items>
    </pivotField>
    <pivotField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Avg Waiting" fld="1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8211D63-218A-4AF5-BFA8-65C344C55274}" sourceName="Department">
  <pivotTables>
    <pivotTable tabId="2" name="ptKPI"/>
    <pivotTable tabId="2" name="pt0"/>
    <pivotTable tabId="2" name="pt1"/>
    <pivotTable tabId="2" name="pt2"/>
    <pivotTable tabId="2" name="pt3"/>
  </pivotTables>
  <data>
    <tabular pivotCacheId="1598220782">
      <items count="6">
        <i x="3" s="1"/>
        <i x="1" s="1"/>
        <i x="4" s="1"/>
        <i x="0"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_Status" xr10:uid="{7A823093-8863-4C65-88FF-933C7FDABF0C}" sourceName="Process Status">
  <pivotTables>
    <pivotTable tabId="2" name="ptKPI"/>
    <pivotTable tabId="2" name="pt0"/>
    <pivotTable tabId="2" name="pt1"/>
    <pivotTable tabId="2" name="pt2"/>
    <pivotTable tabId="2" name="pt3"/>
  </pivotTables>
  <data>
    <tabular pivotCacheId="159822078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rovement_Opportunity" xr10:uid="{EBB9E83D-0551-4EA0-80AA-CAFBD27EB471}" sourceName="Improvement Opportunity">
  <pivotTables>
    <pivotTable tabId="2" name="ptKPI"/>
    <pivotTable tabId="2" name="pt0"/>
    <pivotTable tabId="2" name="pt1"/>
    <pivotTable tabId="2" name="pt2"/>
    <pivotTable tabId="2" name="pt3"/>
  </pivotTables>
  <data>
    <tabular pivotCacheId="1598220782">
      <items count="6">
        <i x="1" s="1"/>
        <i x="3" s="1"/>
        <i x="4" s="1"/>
        <i x="5"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6B5DDF0-8461-4808-B065-4B5545728750}" cache="Slicer_Department" caption="Department" style="SlicerStyleLight2" rowHeight="249238"/>
  <slicer name="Process Status" xr10:uid="{92970596-978D-41CF-8D03-6CB7EB801E2B}" cache="Slicer_Process_Status" caption="Process Status" style="SlicerStyleLight2" rowHeight="249238"/>
  <slicer name="Improvement Opportunity" xr10:uid="{945F939C-E4A2-4AA9-9DF5-4A2D165A40DE}" cache="Slicer_Improvement_Opportunity" caption="Improvement Opportunity" style="SlicerStyleLight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B3B871-9F6D-4E4D-A63E-8269BAE36408}" name="tblProcess" displayName="tblProcess" ref="A1:Z111" totalsRowShown="0">
  <autoFilter ref="A1:Z111" xr:uid="{BEB3B871-9F6D-4E4D-A63E-8269BAE36408}"/>
  <tableColumns count="26">
    <tableColumn id="1" xr3:uid="{A42AE769-E88E-4792-BCE4-174B9124E3BB}" name="Process ID"/>
    <tableColumn id="2" xr3:uid="{E7B56519-42F9-41D0-9E37-5996537D50B7}" name="Process Name"/>
    <tableColumn id="3" xr3:uid="{95BF3977-7D11-4B58-819B-3847F119C68C}" name="Department"/>
    <tableColumn id="4" xr3:uid="{365330BE-C578-48F0-9E06-31D3AB2ADDA8}" name="Process Owner"/>
    <tableColumn id="5" xr3:uid="{FF852325-2B34-44C3-AA21-58552767F938}" name="Activity Name"/>
    <tableColumn id="6" xr3:uid="{286B76A1-1831-4AFA-9E11-91AB1D9EF6FA}" name="Activity Start Time" dataDxfId="1"/>
    <tableColumn id="7" xr3:uid="{B75ACE99-DDED-422B-A362-70D4DB004C39}" name="Activity End Time" dataDxfId="0"/>
    <tableColumn id="8" xr3:uid="{5F453A30-2975-4D98-8F90-4FBCDC31B05E}" name="Activity Duration"/>
    <tableColumn id="9" xr3:uid="{04460E1D-7216-4083-A121-6989FF8557DC}" name="Resource Assigned"/>
    <tableColumn id="10" xr3:uid="{1FFFFE8B-40FF-4243-A87A-234AF1E501A1}" name="Task Volume"/>
    <tableColumn id="11" xr3:uid="{D584A00C-9083-4221-8502-1453FB31E3C0}" name="Tasks Completed"/>
    <tableColumn id="12" xr3:uid="{31E81E94-CCBB-48A5-9B66-4C9473ED060E}" name="Error Count"/>
    <tableColumn id="13" xr3:uid="{91C4AF38-40F7-479D-AE01-9E0716818124}" name="Rework Count"/>
    <tableColumn id="14" xr3:uid="{69C11D47-2B22-4CD1-9E73-B3EC691F4DBA}" name="Waiting Time"/>
    <tableColumn id="15" xr3:uid="{2FFC2C0A-B88A-4147-9AE8-9EE17D36D6A5}" name="Approval Time"/>
    <tableColumn id="16" xr3:uid="{87C1945C-3F78-4270-B39A-2344B479EAA1}" name="Process Cost"/>
    <tableColumn id="17" xr3:uid="{B8007789-E98E-4E45-BDE2-0F2D5D4710CF}" name="SLA Target"/>
    <tableColumn id="18" xr3:uid="{851C665C-7591-426B-98B4-B00D74D32FF0}" name="SLA Achieved"/>
    <tableColumn id="19" xr3:uid="{464C3060-29E6-4604-93F5-0A4EB5D0387B}" name="Customer Complaint Count"/>
    <tableColumn id="20" xr3:uid="{699A2C9E-23D3-40EB-B166-E435BFA672D3}" name="Process Status"/>
    <tableColumn id="21" xr3:uid="{655B6DD0-C0D7-4F8A-ACFE-BAE2DE40EA6A}" name="Improvement Opportunity"/>
    <tableColumn id="22" xr3:uid="{773CDC1F-E64A-487F-AE00-135D7BA8DD3D}" name="Cycle Time"/>
    <tableColumn id="23" xr3:uid="{2D9F5ECB-FE5D-4882-AE4B-5611DECB7833}" name="SLA Met"/>
    <tableColumn id="24" xr3:uid="{EC75958D-A747-4B6A-A7DA-8C1D848887E0}" name="Error Rate"/>
    <tableColumn id="25" xr3:uid="{5ED39025-7608-4E7E-929B-B05E7322FB28}" name="Productivity"/>
    <tableColumn id="26" xr3:uid="{CDBE5DEF-3D61-4E91-B7A2-CD2E952B8FBC}" name="Gro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970D-64D3-4D44-9421-495B3BAA601B}">
  <sheetPr>
    <pageSetUpPr fitToPage="1"/>
  </sheetPr>
  <dimension ref="A1:O44"/>
  <sheetViews>
    <sheetView showGridLines="0" tabSelected="1" workbookViewId="0">
      <selection activeCell="S32" sqref="S32"/>
    </sheetView>
  </sheetViews>
  <sheetFormatPr defaultRowHeight="14.25" x14ac:dyDescent="0.45"/>
  <cols>
    <col min="1" max="15" width="9.59765625" customWidth="1"/>
  </cols>
  <sheetData>
    <row r="1" spans="1:15" ht="20" customHeight="1" x14ac:dyDescent="0.45">
      <c r="A1" s="14" t="s">
        <v>204</v>
      </c>
      <c r="B1" s="15"/>
      <c r="C1" s="15"/>
      <c r="D1" s="15"/>
      <c r="E1" s="15"/>
      <c r="F1" s="15"/>
      <c r="G1" s="15"/>
      <c r="H1" s="15"/>
      <c r="I1" s="15"/>
      <c r="J1" s="15"/>
      <c r="K1" s="15"/>
      <c r="L1" s="15"/>
      <c r="M1" s="15"/>
      <c r="N1" s="15"/>
      <c r="O1" s="15"/>
    </row>
    <row r="2" spans="1:15" ht="20" customHeight="1" x14ac:dyDescent="0.45">
      <c r="A2" s="15"/>
      <c r="B2" s="15"/>
      <c r="C2" s="15"/>
      <c r="D2" s="15"/>
      <c r="E2" s="15"/>
      <c r="F2" s="15"/>
      <c r="G2" s="15"/>
      <c r="H2" s="15"/>
      <c r="I2" s="15"/>
      <c r="J2" s="15"/>
      <c r="K2" s="15"/>
      <c r="L2" s="15"/>
      <c r="M2" s="15"/>
      <c r="N2" s="15"/>
      <c r="O2" s="15"/>
    </row>
    <row r="3" spans="1:15" ht="12" customHeight="1" x14ac:dyDescent="0.45">
      <c r="A3" s="16" t="s">
        <v>205</v>
      </c>
      <c r="B3" s="17"/>
      <c r="C3" s="17"/>
      <c r="D3" s="17"/>
      <c r="E3" s="17"/>
      <c r="F3" s="17"/>
      <c r="G3" s="17"/>
      <c r="H3" s="17"/>
      <c r="I3" s="17"/>
      <c r="J3" s="17"/>
      <c r="K3" s="17"/>
      <c r="L3" s="17"/>
      <c r="M3" s="17"/>
      <c r="N3" s="17"/>
      <c r="O3" s="17"/>
    </row>
    <row r="4" spans="1:15" ht="15" customHeight="1" x14ac:dyDescent="0.45">
      <c r="A4" s="8" t="s">
        <v>196</v>
      </c>
      <c r="B4" s="9"/>
      <c r="C4" s="9"/>
      <c r="D4" s="8" t="s">
        <v>197</v>
      </c>
      <c r="E4" s="9"/>
      <c r="F4" s="9"/>
      <c r="G4" s="8" t="s">
        <v>198</v>
      </c>
      <c r="H4" s="9"/>
      <c r="I4" s="9"/>
      <c r="J4" s="8" t="s">
        <v>199</v>
      </c>
      <c r="K4" s="9"/>
      <c r="L4" s="9"/>
      <c r="M4" s="8" t="s">
        <v>200</v>
      </c>
      <c r="N4" s="9"/>
      <c r="O4" s="10"/>
    </row>
    <row r="5" spans="1:15" ht="28.05" customHeight="1" x14ac:dyDescent="0.65">
      <c r="A5" s="18">
        <f>GETPIVOTDATA("Avg Cycle Time",Pivots!$A$1)</f>
        <v>186.70909090909092</v>
      </c>
      <c r="B5" s="12"/>
      <c r="C5" s="12"/>
      <c r="D5" s="19">
        <f>GETPIVOTDATA("SLA Achievement",Pivots!$A$1)</f>
        <v>0.49090909090909091</v>
      </c>
      <c r="E5" s="12"/>
      <c r="F5" s="12"/>
      <c r="G5" s="20">
        <f>GETPIVOTDATA("Avg Process Cost",Pivots!$A$1)</f>
        <v>1187.5454545454545</v>
      </c>
      <c r="H5" s="12"/>
      <c r="I5" s="12"/>
      <c r="J5" s="21">
        <f>GETPIVOTDATA("Avg Error Rate",Pivots!$A$1)</f>
        <v>5.8639346654311642E-2</v>
      </c>
      <c r="K5" s="12"/>
      <c r="L5" s="12"/>
      <c r="M5" s="11">
        <f>GETPIVOTDATA("Avg Productivity",Pivots!$A$1)</f>
        <v>0.90353316975063624</v>
      </c>
      <c r="N5" s="12"/>
      <c r="O5" s="13"/>
    </row>
    <row r="6" spans="1:15" ht="8" customHeight="1" x14ac:dyDescent="0.45"/>
    <row r="40" spans="1:15" x14ac:dyDescent="0.45">
      <c r="A40" s="7"/>
      <c r="B40" s="7"/>
      <c r="C40" s="7"/>
      <c r="D40" s="7"/>
      <c r="E40" s="7"/>
      <c r="F40" s="7"/>
      <c r="G40" s="7"/>
      <c r="H40" s="7"/>
      <c r="I40" s="7"/>
      <c r="J40" s="7"/>
      <c r="K40" s="7"/>
      <c r="L40" s="7"/>
      <c r="M40" s="7"/>
      <c r="N40" s="7"/>
      <c r="O40" s="7"/>
    </row>
    <row r="41" spans="1:15" x14ac:dyDescent="0.45">
      <c r="A41" s="7"/>
      <c r="B41" s="7"/>
      <c r="C41" s="7"/>
      <c r="D41" s="7"/>
      <c r="E41" s="7"/>
      <c r="F41" s="7"/>
      <c r="G41" s="7"/>
      <c r="H41" s="7"/>
      <c r="I41" s="7"/>
      <c r="J41" s="7"/>
      <c r="K41" s="7"/>
      <c r="L41" s="7"/>
      <c r="M41" s="7"/>
      <c r="N41" s="7"/>
      <c r="O41" s="7"/>
    </row>
    <row r="42" spans="1:15" x14ac:dyDescent="0.45">
      <c r="A42" s="7"/>
      <c r="B42" s="7"/>
      <c r="C42" s="7"/>
      <c r="D42" s="7"/>
      <c r="E42" s="7"/>
      <c r="F42" s="7"/>
      <c r="G42" s="7"/>
      <c r="H42" s="7"/>
      <c r="I42" s="7"/>
      <c r="J42" s="7"/>
      <c r="K42" s="7"/>
      <c r="L42" s="7"/>
      <c r="M42" s="7"/>
      <c r="N42" s="7"/>
      <c r="O42" s="7"/>
    </row>
    <row r="43" spans="1:15" x14ac:dyDescent="0.45">
      <c r="A43" s="7"/>
      <c r="B43" s="7"/>
      <c r="C43" s="7"/>
      <c r="D43" s="7"/>
      <c r="E43" s="7"/>
      <c r="F43" s="7"/>
      <c r="G43" s="7"/>
      <c r="H43" s="7"/>
      <c r="I43" s="7"/>
      <c r="J43" s="7"/>
      <c r="K43" s="7"/>
      <c r="L43" s="7"/>
      <c r="M43" s="7"/>
      <c r="N43" s="7"/>
      <c r="O43" s="7"/>
    </row>
    <row r="44" spans="1:15" x14ac:dyDescent="0.45">
      <c r="A44" s="7"/>
      <c r="B44" s="7"/>
      <c r="C44" s="7"/>
      <c r="D44" s="7"/>
      <c r="E44" s="7"/>
      <c r="F44" s="7"/>
      <c r="G44" s="7"/>
      <c r="H44" s="7"/>
      <c r="I44" s="7"/>
      <c r="J44" s="7"/>
      <c r="K44" s="7"/>
      <c r="L44" s="7"/>
      <c r="M44" s="7"/>
      <c r="N44" s="7"/>
      <c r="O44" s="7"/>
    </row>
  </sheetData>
  <mergeCells count="12">
    <mergeCell ref="M4:O4"/>
    <mergeCell ref="M5:O5"/>
    <mergeCell ref="A1:O2"/>
    <mergeCell ref="A3:O3"/>
    <mergeCell ref="A4:C4"/>
    <mergeCell ref="A5:C5"/>
    <mergeCell ref="D4:F4"/>
    <mergeCell ref="D5:F5"/>
    <mergeCell ref="G4:I4"/>
    <mergeCell ref="G5:I5"/>
    <mergeCell ref="J4:L4"/>
    <mergeCell ref="J5:L5"/>
  </mergeCells>
  <pageMargins left="0.2" right="0.2" top="0.2" bottom="0.2" header="0.3" footer="0.3"/>
  <pageSetup scale="85"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7E96-DAA8-4ACE-A739-7BB3E5B9D9C6}">
  <dimension ref="A1:J83"/>
  <sheetViews>
    <sheetView workbookViewId="0"/>
  </sheetViews>
  <sheetFormatPr defaultRowHeight="14.25" x14ac:dyDescent="0.45"/>
  <cols>
    <col min="1" max="1" width="11.9296875" bestFit="1" customWidth="1"/>
    <col min="2" max="2" width="12.59765625" bestFit="1" customWidth="1"/>
    <col min="3" max="3" width="14.59765625" bestFit="1" customWidth="1"/>
    <col min="4" max="4" width="14.33203125" bestFit="1" customWidth="1"/>
    <col min="5" max="5" width="11.86328125" bestFit="1" customWidth="1"/>
    <col min="6" max="6" width="13.46484375" bestFit="1" customWidth="1"/>
    <col min="9" max="9" width="15.06640625" bestFit="1" customWidth="1"/>
    <col min="10" max="10" width="8.6640625" bestFit="1" customWidth="1"/>
  </cols>
  <sheetData>
    <row r="1" spans="1:10" x14ac:dyDescent="0.45">
      <c r="A1" s="2" t="s">
        <v>194</v>
      </c>
      <c r="B1" t="s">
        <v>196</v>
      </c>
      <c r="C1" t="s">
        <v>197</v>
      </c>
      <c r="D1" t="s">
        <v>198</v>
      </c>
      <c r="E1" t="s">
        <v>199</v>
      </c>
      <c r="F1" t="s">
        <v>200</v>
      </c>
      <c r="I1" s="2" t="s">
        <v>194</v>
      </c>
      <c r="J1" t="s">
        <v>196</v>
      </c>
    </row>
    <row r="2" spans="1:10" x14ac:dyDescent="0.45">
      <c r="A2" s="3" t="s">
        <v>35</v>
      </c>
      <c r="B2" s="4">
        <v>186.70909090909092</v>
      </c>
      <c r="C2" s="5">
        <v>0.49090909090909091</v>
      </c>
      <c r="D2" s="6">
        <v>1187.5454545454545</v>
      </c>
      <c r="E2" s="5">
        <v>5.8639346654311642E-2</v>
      </c>
      <c r="F2" s="5">
        <v>0.90353316975063624</v>
      </c>
      <c r="I2" s="3" t="s">
        <v>62</v>
      </c>
      <c r="J2">
        <v>193.9</v>
      </c>
    </row>
    <row r="3" spans="1:10" x14ac:dyDescent="0.45">
      <c r="A3" s="3" t="s">
        <v>195</v>
      </c>
      <c r="B3" s="4">
        <v>186.70909090909092</v>
      </c>
      <c r="C3" s="5">
        <v>0.49090909090909091</v>
      </c>
      <c r="D3" s="6">
        <v>1187.5454545454545</v>
      </c>
      <c r="E3" s="5">
        <v>5.8639346654311642E-2</v>
      </c>
      <c r="F3" s="5">
        <v>0.90353316975063624</v>
      </c>
      <c r="I3" s="3" t="s">
        <v>38</v>
      </c>
      <c r="J3">
        <v>203.6875</v>
      </c>
    </row>
    <row r="4" spans="1:10" x14ac:dyDescent="0.45">
      <c r="I4" s="3" t="s">
        <v>69</v>
      </c>
      <c r="J4">
        <v>193.53333333333333</v>
      </c>
    </row>
    <row r="5" spans="1:10" x14ac:dyDescent="0.45">
      <c r="I5" s="3" t="s">
        <v>28</v>
      </c>
      <c r="J5">
        <v>158.63636363636363</v>
      </c>
    </row>
    <row r="6" spans="1:10" x14ac:dyDescent="0.45">
      <c r="I6" s="3" t="s">
        <v>89</v>
      </c>
      <c r="J6">
        <v>187</v>
      </c>
    </row>
    <row r="7" spans="1:10" x14ac:dyDescent="0.45">
      <c r="I7" s="3" t="s">
        <v>44</v>
      </c>
      <c r="J7">
        <v>192.5625</v>
      </c>
    </row>
    <row r="8" spans="1:10" x14ac:dyDescent="0.45">
      <c r="I8" s="3" t="s">
        <v>195</v>
      </c>
      <c r="J8">
        <v>186.70909090909092</v>
      </c>
    </row>
    <row r="26" spans="9:10" x14ac:dyDescent="0.45">
      <c r="I26" s="2" t="s">
        <v>194</v>
      </c>
      <c r="J26" t="s">
        <v>201</v>
      </c>
    </row>
    <row r="27" spans="9:10" x14ac:dyDescent="0.45">
      <c r="I27" s="3" t="s">
        <v>58</v>
      </c>
      <c r="J27">
        <v>59.666666666666664</v>
      </c>
    </row>
    <row r="28" spans="9:10" x14ac:dyDescent="0.45">
      <c r="I28" s="3" t="s">
        <v>51</v>
      </c>
      <c r="J28">
        <v>66.8</v>
      </c>
    </row>
    <row r="29" spans="9:10" x14ac:dyDescent="0.45">
      <c r="I29" s="3" t="s">
        <v>30</v>
      </c>
      <c r="J29">
        <v>61.8125</v>
      </c>
    </row>
    <row r="30" spans="9:10" x14ac:dyDescent="0.45">
      <c r="I30" s="3" t="s">
        <v>46</v>
      </c>
      <c r="J30">
        <v>63.75</v>
      </c>
    </row>
    <row r="31" spans="9:10" x14ac:dyDescent="0.45">
      <c r="I31" s="3" t="s">
        <v>70</v>
      </c>
      <c r="J31">
        <v>61.733333333333334</v>
      </c>
    </row>
    <row r="32" spans="9:10" x14ac:dyDescent="0.45">
      <c r="I32" s="3" t="s">
        <v>66</v>
      </c>
      <c r="J32">
        <v>62.454545454545453</v>
      </c>
    </row>
    <row r="33" spans="9:10" x14ac:dyDescent="0.45">
      <c r="I33" s="3" t="s">
        <v>93</v>
      </c>
      <c r="J33">
        <v>63.230769230769234</v>
      </c>
    </row>
    <row r="34" spans="9:10" x14ac:dyDescent="0.45">
      <c r="I34" s="3" t="s">
        <v>76</v>
      </c>
      <c r="J34">
        <v>65.857142857142861</v>
      </c>
    </row>
    <row r="35" spans="9:10" x14ac:dyDescent="0.45">
      <c r="I35" s="3" t="s">
        <v>195</v>
      </c>
      <c r="J35">
        <v>63.245454545454542</v>
      </c>
    </row>
    <row r="51" spans="9:10" x14ac:dyDescent="0.45">
      <c r="I51" s="2" t="s">
        <v>194</v>
      </c>
      <c r="J51" t="s">
        <v>202</v>
      </c>
    </row>
    <row r="52" spans="9:10" x14ac:dyDescent="0.45">
      <c r="I52" s="3" t="s">
        <v>62</v>
      </c>
      <c r="J52">
        <v>24971</v>
      </c>
    </row>
    <row r="53" spans="9:10" x14ac:dyDescent="0.45">
      <c r="I53" s="3" t="s">
        <v>38</v>
      </c>
      <c r="J53">
        <v>21684</v>
      </c>
    </row>
    <row r="54" spans="9:10" x14ac:dyDescent="0.45">
      <c r="I54" s="3" t="s">
        <v>69</v>
      </c>
      <c r="J54">
        <v>19021</v>
      </c>
    </row>
    <row r="55" spans="9:10" x14ac:dyDescent="0.45">
      <c r="I55" s="3" t="s">
        <v>28</v>
      </c>
      <c r="J55">
        <v>20766</v>
      </c>
    </row>
    <row r="56" spans="9:10" x14ac:dyDescent="0.45">
      <c r="I56" s="3" t="s">
        <v>89</v>
      </c>
      <c r="J56">
        <v>26470</v>
      </c>
    </row>
    <row r="57" spans="9:10" x14ac:dyDescent="0.45">
      <c r="I57" s="3" t="s">
        <v>44</v>
      </c>
      <c r="J57">
        <v>17718</v>
      </c>
    </row>
    <row r="58" spans="9:10" x14ac:dyDescent="0.45">
      <c r="I58" s="3" t="s">
        <v>195</v>
      </c>
      <c r="J58">
        <v>130630</v>
      </c>
    </row>
    <row r="76" spans="9:10" x14ac:dyDescent="0.45">
      <c r="I76" s="2" t="s">
        <v>194</v>
      </c>
      <c r="J76" t="s">
        <v>203</v>
      </c>
    </row>
    <row r="77" spans="9:10" x14ac:dyDescent="0.45">
      <c r="I77" s="3" t="s">
        <v>62</v>
      </c>
      <c r="J77">
        <v>0.35</v>
      </c>
    </row>
    <row r="78" spans="9:10" x14ac:dyDescent="0.45">
      <c r="I78" s="3" t="s">
        <v>38</v>
      </c>
      <c r="J78">
        <v>0.375</v>
      </c>
    </row>
    <row r="79" spans="9:10" x14ac:dyDescent="0.45">
      <c r="I79" s="3" t="s">
        <v>69</v>
      </c>
      <c r="J79">
        <v>0.4</v>
      </c>
    </row>
    <row r="80" spans="9:10" x14ac:dyDescent="0.45">
      <c r="I80" s="3" t="s">
        <v>28</v>
      </c>
      <c r="J80">
        <v>0.72727272727272729</v>
      </c>
    </row>
    <row r="81" spans="9:10" x14ac:dyDescent="0.45">
      <c r="I81" s="3" t="s">
        <v>89</v>
      </c>
      <c r="J81">
        <v>0.52380952380952384</v>
      </c>
    </row>
    <row r="82" spans="9:10" x14ac:dyDescent="0.45">
      <c r="I82" s="3" t="s">
        <v>44</v>
      </c>
      <c r="J82">
        <v>0.5</v>
      </c>
    </row>
    <row r="83" spans="9:10" x14ac:dyDescent="0.45">
      <c r="I83" s="3" t="s">
        <v>195</v>
      </c>
      <c r="J83">
        <v>0.49090909090909091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A199F-23F3-4809-8985-6D4A4E25E9B3}">
  <dimension ref="A1:Z111"/>
  <sheetViews>
    <sheetView workbookViewId="0"/>
  </sheetViews>
  <sheetFormatPr defaultRowHeight="14.25" x14ac:dyDescent="0.45"/>
  <cols>
    <col min="1" max="26" width="15.59765625" customWidth="1"/>
  </cols>
  <sheetData>
    <row r="1" spans="1:26"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45">
      <c r="A2" t="s">
        <v>26</v>
      </c>
      <c r="B2" t="s">
        <v>27</v>
      </c>
      <c r="C2" t="s">
        <v>28</v>
      </c>
      <c r="D2" t="s">
        <v>29</v>
      </c>
      <c r="E2" t="s">
        <v>30</v>
      </c>
      <c r="F2" s="1">
        <v>0.40902777777777777</v>
      </c>
      <c r="G2" s="1">
        <v>0.50347222222222221</v>
      </c>
      <c r="H2">
        <v>136</v>
      </c>
      <c r="I2" t="s">
        <v>31</v>
      </c>
      <c r="J2">
        <v>348</v>
      </c>
      <c r="K2">
        <v>334</v>
      </c>
      <c r="L2">
        <v>38</v>
      </c>
      <c r="M2">
        <v>24</v>
      </c>
      <c r="N2">
        <v>54</v>
      </c>
      <c r="O2">
        <v>42</v>
      </c>
      <c r="P2">
        <v>916</v>
      </c>
      <c r="Q2">
        <v>90</v>
      </c>
      <c r="R2" t="s">
        <v>32</v>
      </c>
      <c r="S2">
        <v>3</v>
      </c>
      <c r="T2" t="s">
        <v>33</v>
      </c>
      <c r="U2" t="s">
        <v>34</v>
      </c>
      <c r="V2">
        <v>232</v>
      </c>
      <c r="W2">
        <v>0</v>
      </c>
      <c r="X2">
        <v>0.10919540229885058</v>
      </c>
      <c r="Y2">
        <v>0.95977011494252873</v>
      </c>
      <c r="Z2" t="s">
        <v>35</v>
      </c>
    </row>
    <row r="3" spans="1:26" x14ac:dyDescent="0.45">
      <c r="A3" t="s">
        <v>36</v>
      </c>
      <c r="B3" t="s">
        <v>37</v>
      </c>
      <c r="C3" t="s">
        <v>38</v>
      </c>
      <c r="D3" t="s">
        <v>39</v>
      </c>
      <c r="E3" t="s">
        <v>30</v>
      </c>
      <c r="F3" s="1">
        <v>0.41805555555555557</v>
      </c>
      <c r="G3" s="1">
        <v>0.48125000000000001</v>
      </c>
      <c r="H3">
        <v>91</v>
      </c>
      <c r="I3" t="s">
        <v>40</v>
      </c>
      <c r="J3">
        <v>366</v>
      </c>
      <c r="K3">
        <v>315</v>
      </c>
      <c r="L3">
        <v>18</v>
      </c>
      <c r="M3">
        <v>6</v>
      </c>
      <c r="N3">
        <v>119</v>
      </c>
      <c r="O3">
        <v>38</v>
      </c>
      <c r="P3">
        <v>2148</v>
      </c>
      <c r="Q3">
        <v>90</v>
      </c>
      <c r="R3" t="s">
        <v>32</v>
      </c>
      <c r="S3">
        <v>6</v>
      </c>
      <c r="T3" t="s">
        <v>33</v>
      </c>
      <c r="U3" t="s">
        <v>41</v>
      </c>
      <c r="V3">
        <v>248</v>
      </c>
      <c r="W3">
        <v>0</v>
      </c>
      <c r="X3">
        <v>4.9180327868852458E-2</v>
      </c>
      <c r="Y3">
        <v>0.86065573770491799</v>
      </c>
      <c r="Z3" t="s">
        <v>35</v>
      </c>
    </row>
    <row r="4" spans="1:26" x14ac:dyDescent="0.45">
      <c r="A4" t="s">
        <v>42</v>
      </c>
      <c r="B4" t="s">
        <v>43</v>
      </c>
      <c r="C4" t="s">
        <v>44</v>
      </c>
      <c r="D4" t="s">
        <v>45</v>
      </c>
      <c r="E4" t="s">
        <v>46</v>
      </c>
      <c r="F4" s="1">
        <v>0.36041666666666666</v>
      </c>
      <c r="G4" s="1">
        <v>0.44097222222222221</v>
      </c>
      <c r="H4">
        <v>116</v>
      </c>
      <c r="I4" t="s">
        <v>47</v>
      </c>
      <c r="J4">
        <v>247</v>
      </c>
      <c r="K4">
        <v>205</v>
      </c>
      <c r="L4">
        <v>12</v>
      </c>
      <c r="M4">
        <v>10</v>
      </c>
      <c r="N4">
        <v>55</v>
      </c>
      <c r="O4">
        <v>68</v>
      </c>
      <c r="P4">
        <v>1108</v>
      </c>
      <c r="Q4">
        <v>150</v>
      </c>
      <c r="R4" t="s">
        <v>32</v>
      </c>
      <c r="S4">
        <v>6</v>
      </c>
      <c r="T4" t="s">
        <v>33</v>
      </c>
      <c r="U4" t="s">
        <v>48</v>
      </c>
      <c r="V4">
        <v>239</v>
      </c>
      <c r="W4">
        <v>0</v>
      </c>
      <c r="X4">
        <v>4.8582995951417005E-2</v>
      </c>
      <c r="Y4">
        <v>0.82995951417004044</v>
      </c>
      <c r="Z4" t="s">
        <v>35</v>
      </c>
    </row>
    <row r="5" spans="1:26" x14ac:dyDescent="0.45">
      <c r="A5" t="s">
        <v>49</v>
      </c>
      <c r="B5" t="s">
        <v>43</v>
      </c>
      <c r="C5" t="s">
        <v>44</v>
      </c>
      <c r="D5" t="s">
        <v>50</v>
      </c>
      <c r="E5" t="s">
        <v>51</v>
      </c>
      <c r="F5" s="1">
        <v>0.34513888888888888</v>
      </c>
      <c r="G5" s="1">
        <v>0.37777777777777777</v>
      </c>
      <c r="H5">
        <v>47</v>
      </c>
      <c r="I5" t="s">
        <v>52</v>
      </c>
      <c r="J5">
        <v>261</v>
      </c>
      <c r="K5">
        <v>250</v>
      </c>
      <c r="L5">
        <v>8</v>
      </c>
      <c r="M5">
        <v>6</v>
      </c>
      <c r="N5">
        <v>103</v>
      </c>
      <c r="O5">
        <v>46</v>
      </c>
      <c r="P5">
        <v>1104</v>
      </c>
      <c r="Q5">
        <v>210</v>
      </c>
      <c r="R5" t="s">
        <v>53</v>
      </c>
      <c r="S5">
        <v>8</v>
      </c>
      <c r="T5" t="s">
        <v>54</v>
      </c>
      <c r="U5" t="s">
        <v>41</v>
      </c>
      <c r="V5">
        <v>196</v>
      </c>
      <c r="W5">
        <v>1</v>
      </c>
      <c r="X5">
        <v>3.0651340996168581E-2</v>
      </c>
      <c r="Y5">
        <v>0.95785440613026818</v>
      </c>
      <c r="Z5" t="s">
        <v>35</v>
      </c>
    </row>
    <row r="6" spans="1:26" x14ac:dyDescent="0.45">
      <c r="A6" t="s">
        <v>55</v>
      </c>
      <c r="B6" t="s">
        <v>56</v>
      </c>
      <c r="C6" t="s">
        <v>28</v>
      </c>
      <c r="D6" t="s">
        <v>57</v>
      </c>
      <c r="E6" t="s">
        <v>58</v>
      </c>
      <c r="F6" s="1">
        <v>0.34444444444444444</v>
      </c>
      <c r="G6" s="1">
        <v>0.3611111111111111</v>
      </c>
      <c r="H6">
        <v>24</v>
      </c>
      <c r="I6" t="s">
        <v>31</v>
      </c>
      <c r="J6">
        <v>334</v>
      </c>
      <c r="K6">
        <v>312</v>
      </c>
      <c r="L6">
        <v>21</v>
      </c>
      <c r="M6">
        <v>16</v>
      </c>
      <c r="N6">
        <v>113</v>
      </c>
      <c r="O6">
        <v>15</v>
      </c>
      <c r="P6">
        <v>739</v>
      </c>
      <c r="Q6">
        <v>240</v>
      </c>
      <c r="R6" t="s">
        <v>53</v>
      </c>
      <c r="S6">
        <v>2</v>
      </c>
      <c r="T6" t="s">
        <v>59</v>
      </c>
      <c r="U6" t="s">
        <v>41</v>
      </c>
      <c r="V6">
        <v>152</v>
      </c>
      <c r="W6">
        <v>1</v>
      </c>
      <c r="X6">
        <v>6.2874251497005984E-2</v>
      </c>
      <c r="Y6">
        <v>0.93413173652694614</v>
      </c>
      <c r="Z6" t="s">
        <v>35</v>
      </c>
    </row>
    <row r="7" spans="1:26" x14ac:dyDescent="0.45">
      <c r="A7" t="s">
        <v>60</v>
      </c>
      <c r="B7" t="s">
        <v>61</v>
      </c>
      <c r="C7" t="s">
        <v>62</v>
      </c>
      <c r="D7" t="s">
        <v>63</v>
      </c>
      <c r="E7" t="s">
        <v>58</v>
      </c>
      <c r="F7" s="1">
        <v>0.49166666666666664</v>
      </c>
      <c r="G7" s="1">
        <v>0.59444444444444444</v>
      </c>
      <c r="H7">
        <v>148</v>
      </c>
      <c r="I7" t="s">
        <v>47</v>
      </c>
      <c r="J7">
        <v>495</v>
      </c>
      <c r="K7">
        <v>478</v>
      </c>
      <c r="L7">
        <v>4</v>
      </c>
      <c r="M7">
        <v>1</v>
      </c>
      <c r="N7">
        <v>79</v>
      </c>
      <c r="O7">
        <v>43</v>
      </c>
      <c r="P7">
        <v>1417</v>
      </c>
      <c r="Q7">
        <v>90</v>
      </c>
      <c r="R7" t="s">
        <v>53</v>
      </c>
      <c r="S7">
        <v>9</v>
      </c>
      <c r="T7" t="s">
        <v>33</v>
      </c>
      <c r="U7" t="s">
        <v>64</v>
      </c>
      <c r="V7">
        <v>270</v>
      </c>
      <c r="W7">
        <v>1</v>
      </c>
      <c r="X7">
        <v>8.0808080808080808E-3</v>
      </c>
      <c r="Y7">
        <v>0.96565656565656566</v>
      </c>
      <c r="Z7" t="s">
        <v>35</v>
      </c>
    </row>
    <row r="8" spans="1:26" x14ac:dyDescent="0.45">
      <c r="A8" t="s">
        <v>65</v>
      </c>
      <c r="B8" t="s">
        <v>43</v>
      </c>
      <c r="C8" t="s">
        <v>44</v>
      </c>
      <c r="D8" t="s">
        <v>57</v>
      </c>
      <c r="E8" t="s">
        <v>66</v>
      </c>
      <c r="F8" s="1">
        <v>0.57430555555555551</v>
      </c>
      <c r="G8" s="1">
        <v>0.62916666666666665</v>
      </c>
      <c r="H8">
        <v>79</v>
      </c>
      <c r="I8" t="s">
        <v>47</v>
      </c>
      <c r="J8">
        <v>462</v>
      </c>
      <c r="K8">
        <v>421</v>
      </c>
      <c r="L8">
        <v>5</v>
      </c>
      <c r="M8">
        <v>4</v>
      </c>
      <c r="N8">
        <v>64</v>
      </c>
      <c r="O8">
        <v>59</v>
      </c>
      <c r="P8">
        <v>933</v>
      </c>
      <c r="Q8">
        <v>180</v>
      </c>
      <c r="R8" t="s">
        <v>32</v>
      </c>
      <c r="S8">
        <v>6</v>
      </c>
      <c r="T8" t="s">
        <v>33</v>
      </c>
      <c r="U8" t="s">
        <v>48</v>
      </c>
      <c r="V8">
        <v>202</v>
      </c>
      <c r="W8">
        <v>0</v>
      </c>
      <c r="X8">
        <v>1.0822510822510822E-2</v>
      </c>
      <c r="Y8">
        <v>0.91125541125541121</v>
      </c>
      <c r="Z8" t="s">
        <v>35</v>
      </c>
    </row>
    <row r="9" spans="1:26" x14ac:dyDescent="0.45">
      <c r="A9" t="s">
        <v>67</v>
      </c>
      <c r="B9" t="s">
        <v>68</v>
      </c>
      <c r="C9" t="s">
        <v>69</v>
      </c>
      <c r="D9" t="s">
        <v>63</v>
      </c>
      <c r="E9" t="s">
        <v>70</v>
      </c>
      <c r="F9" s="1">
        <v>0.55833333333333335</v>
      </c>
      <c r="G9" s="1">
        <v>0.56597222222222221</v>
      </c>
      <c r="H9">
        <v>11</v>
      </c>
      <c r="I9" t="s">
        <v>31</v>
      </c>
      <c r="J9">
        <v>242</v>
      </c>
      <c r="K9">
        <v>203</v>
      </c>
      <c r="L9">
        <v>13</v>
      </c>
      <c r="M9">
        <v>9</v>
      </c>
      <c r="N9">
        <v>86</v>
      </c>
      <c r="O9">
        <v>30</v>
      </c>
      <c r="P9">
        <v>484</v>
      </c>
      <c r="Q9">
        <v>180</v>
      </c>
      <c r="R9" t="s">
        <v>53</v>
      </c>
      <c r="S9">
        <v>2</v>
      </c>
      <c r="T9" t="s">
        <v>59</v>
      </c>
      <c r="U9" t="s">
        <v>41</v>
      </c>
      <c r="V9">
        <v>127</v>
      </c>
      <c r="W9">
        <v>1</v>
      </c>
      <c r="X9">
        <v>5.3719008264462811E-2</v>
      </c>
      <c r="Y9">
        <v>0.83884297520661155</v>
      </c>
      <c r="Z9" t="s">
        <v>35</v>
      </c>
    </row>
    <row r="10" spans="1:26" x14ac:dyDescent="0.45">
      <c r="A10" t="s">
        <v>71</v>
      </c>
      <c r="B10" t="s">
        <v>72</v>
      </c>
      <c r="C10" t="s">
        <v>28</v>
      </c>
      <c r="D10" t="s">
        <v>73</v>
      </c>
      <c r="E10" t="s">
        <v>30</v>
      </c>
      <c r="F10" s="1">
        <v>0.43541666666666667</v>
      </c>
      <c r="G10" s="1">
        <v>0.46458333333333335</v>
      </c>
      <c r="H10">
        <v>42</v>
      </c>
      <c r="I10" t="s">
        <v>31</v>
      </c>
      <c r="J10">
        <v>216</v>
      </c>
      <c r="K10">
        <v>193</v>
      </c>
      <c r="L10">
        <v>23</v>
      </c>
      <c r="M10">
        <v>13</v>
      </c>
      <c r="N10">
        <v>13</v>
      </c>
      <c r="O10">
        <v>28</v>
      </c>
      <c r="P10">
        <v>550</v>
      </c>
      <c r="Q10">
        <v>90</v>
      </c>
      <c r="R10" t="s">
        <v>53</v>
      </c>
      <c r="S10">
        <v>2</v>
      </c>
      <c r="T10" t="s">
        <v>54</v>
      </c>
      <c r="U10" t="s">
        <v>34</v>
      </c>
      <c r="V10">
        <v>83</v>
      </c>
      <c r="W10">
        <v>1</v>
      </c>
      <c r="X10">
        <v>0.10648148148148148</v>
      </c>
      <c r="Y10">
        <v>0.89351851851851849</v>
      </c>
      <c r="Z10" t="s">
        <v>35</v>
      </c>
    </row>
    <row r="11" spans="1:26" x14ac:dyDescent="0.45">
      <c r="A11" t="s">
        <v>74</v>
      </c>
      <c r="B11" t="s">
        <v>75</v>
      </c>
      <c r="C11" t="s">
        <v>69</v>
      </c>
      <c r="D11" t="s">
        <v>73</v>
      </c>
      <c r="E11" t="s">
        <v>76</v>
      </c>
      <c r="F11" s="1">
        <v>0.63888888888888884</v>
      </c>
      <c r="G11" s="1">
        <v>0.72361111111111109</v>
      </c>
      <c r="H11">
        <v>122</v>
      </c>
      <c r="I11" t="s">
        <v>31</v>
      </c>
      <c r="J11">
        <v>380</v>
      </c>
      <c r="K11">
        <v>355</v>
      </c>
      <c r="L11">
        <v>30</v>
      </c>
      <c r="M11">
        <v>23</v>
      </c>
      <c r="N11">
        <v>93</v>
      </c>
      <c r="O11">
        <v>65</v>
      </c>
      <c r="P11">
        <v>1136</v>
      </c>
      <c r="Q11">
        <v>240</v>
      </c>
      <c r="R11" t="s">
        <v>32</v>
      </c>
      <c r="S11">
        <v>3</v>
      </c>
      <c r="T11" t="s">
        <v>33</v>
      </c>
      <c r="U11" t="s">
        <v>41</v>
      </c>
      <c r="V11">
        <v>280</v>
      </c>
      <c r="W11">
        <v>0</v>
      </c>
      <c r="X11">
        <v>7.8947368421052627E-2</v>
      </c>
      <c r="Y11">
        <v>0.93421052631578949</v>
      </c>
      <c r="Z11" t="s">
        <v>35</v>
      </c>
    </row>
    <row r="12" spans="1:26" x14ac:dyDescent="0.45">
      <c r="A12" t="s">
        <v>77</v>
      </c>
      <c r="B12" t="s">
        <v>61</v>
      </c>
      <c r="C12" t="s">
        <v>62</v>
      </c>
      <c r="D12" t="s">
        <v>50</v>
      </c>
      <c r="E12" t="s">
        <v>30</v>
      </c>
      <c r="F12" s="1">
        <v>0.59444444444444444</v>
      </c>
      <c r="G12" s="1">
        <v>0.65347222222222223</v>
      </c>
      <c r="H12">
        <v>85</v>
      </c>
      <c r="I12" t="s">
        <v>78</v>
      </c>
      <c r="J12">
        <v>170</v>
      </c>
      <c r="K12">
        <v>163</v>
      </c>
      <c r="L12">
        <v>17</v>
      </c>
      <c r="M12">
        <v>7</v>
      </c>
      <c r="N12">
        <v>76</v>
      </c>
      <c r="O12">
        <v>5</v>
      </c>
      <c r="P12">
        <v>937</v>
      </c>
      <c r="Q12">
        <v>90</v>
      </c>
      <c r="R12" t="s">
        <v>32</v>
      </c>
      <c r="S12">
        <v>6</v>
      </c>
      <c r="T12" t="s">
        <v>33</v>
      </c>
      <c r="U12" t="s">
        <v>34</v>
      </c>
      <c r="V12">
        <v>166</v>
      </c>
      <c r="W12">
        <v>0</v>
      </c>
      <c r="X12">
        <v>0.1</v>
      </c>
      <c r="Y12">
        <v>0.95882352941176474</v>
      </c>
      <c r="Z12" t="s">
        <v>35</v>
      </c>
    </row>
    <row r="13" spans="1:26" x14ac:dyDescent="0.45">
      <c r="A13" t="s">
        <v>79</v>
      </c>
      <c r="B13" t="s">
        <v>43</v>
      </c>
      <c r="C13" t="s">
        <v>44</v>
      </c>
      <c r="D13" t="s">
        <v>57</v>
      </c>
      <c r="E13" t="s">
        <v>66</v>
      </c>
      <c r="F13" s="1">
        <v>0.5854166666666667</v>
      </c>
      <c r="G13" s="1">
        <v>0.68888888888888888</v>
      </c>
      <c r="H13">
        <v>149</v>
      </c>
      <c r="I13" t="s">
        <v>80</v>
      </c>
      <c r="J13">
        <v>144</v>
      </c>
      <c r="K13">
        <v>143</v>
      </c>
      <c r="L13">
        <v>13</v>
      </c>
      <c r="M13">
        <v>8</v>
      </c>
      <c r="N13">
        <v>14</v>
      </c>
      <c r="O13">
        <v>1</v>
      </c>
      <c r="P13">
        <v>1930</v>
      </c>
      <c r="Q13">
        <v>180</v>
      </c>
      <c r="R13" t="s">
        <v>53</v>
      </c>
      <c r="S13">
        <v>3</v>
      </c>
      <c r="T13" t="s">
        <v>54</v>
      </c>
      <c r="U13" t="s">
        <v>81</v>
      </c>
      <c r="V13">
        <v>164</v>
      </c>
      <c r="W13">
        <v>1</v>
      </c>
      <c r="X13">
        <v>9.0277777777777776E-2</v>
      </c>
      <c r="Y13">
        <v>0.99305555555555558</v>
      </c>
      <c r="Z13" t="s">
        <v>35</v>
      </c>
    </row>
    <row r="14" spans="1:26" x14ac:dyDescent="0.45">
      <c r="A14" t="s">
        <v>82</v>
      </c>
      <c r="B14" t="s">
        <v>61</v>
      </c>
      <c r="C14" t="s">
        <v>62</v>
      </c>
      <c r="D14" t="s">
        <v>57</v>
      </c>
      <c r="E14" t="s">
        <v>51</v>
      </c>
      <c r="F14" s="1">
        <v>0.54791666666666672</v>
      </c>
      <c r="G14" s="1">
        <v>0.60069444444444442</v>
      </c>
      <c r="H14">
        <v>76</v>
      </c>
      <c r="I14" t="s">
        <v>78</v>
      </c>
      <c r="J14">
        <v>366</v>
      </c>
      <c r="K14">
        <v>351</v>
      </c>
      <c r="L14">
        <v>30</v>
      </c>
      <c r="M14">
        <v>29</v>
      </c>
      <c r="N14">
        <v>115</v>
      </c>
      <c r="O14">
        <v>43</v>
      </c>
      <c r="P14">
        <v>1207</v>
      </c>
      <c r="Q14">
        <v>240</v>
      </c>
      <c r="R14" t="s">
        <v>32</v>
      </c>
      <c r="S14">
        <v>7</v>
      </c>
      <c r="T14" t="s">
        <v>54</v>
      </c>
      <c r="U14" t="s">
        <v>41</v>
      </c>
      <c r="V14">
        <v>234</v>
      </c>
      <c r="W14">
        <v>0</v>
      </c>
      <c r="X14">
        <v>8.1967213114754092E-2</v>
      </c>
      <c r="Y14">
        <v>0.95901639344262291</v>
      </c>
      <c r="Z14" t="s">
        <v>35</v>
      </c>
    </row>
    <row r="15" spans="1:26" x14ac:dyDescent="0.45">
      <c r="A15" t="s">
        <v>83</v>
      </c>
      <c r="B15" t="s">
        <v>37</v>
      </c>
      <c r="C15" t="s">
        <v>38</v>
      </c>
      <c r="D15" t="s">
        <v>39</v>
      </c>
      <c r="E15" t="s">
        <v>51</v>
      </c>
      <c r="F15" s="1">
        <v>0.56180555555555556</v>
      </c>
      <c r="G15" s="1">
        <v>0.60555555555555551</v>
      </c>
      <c r="H15">
        <v>63</v>
      </c>
      <c r="I15" t="s">
        <v>80</v>
      </c>
      <c r="J15">
        <v>447</v>
      </c>
      <c r="K15">
        <v>379</v>
      </c>
      <c r="L15">
        <v>5</v>
      </c>
      <c r="M15">
        <v>2</v>
      </c>
      <c r="N15">
        <v>49</v>
      </c>
      <c r="O15">
        <v>20</v>
      </c>
      <c r="P15">
        <v>989</v>
      </c>
      <c r="Q15">
        <v>240</v>
      </c>
      <c r="R15" t="s">
        <v>53</v>
      </c>
      <c r="S15">
        <v>2</v>
      </c>
      <c r="T15" t="s">
        <v>59</v>
      </c>
      <c r="U15" t="s">
        <v>64</v>
      </c>
      <c r="V15">
        <v>132</v>
      </c>
      <c r="W15">
        <v>1</v>
      </c>
      <c r="X15">
        <v>1.1185682326621925E-2</v>
      </c>
      <c r="Y15">
        <v>0.84787472035794187</v>
      </c>
      <c r="Z15" t="s">
        <v>35</v>
      </c>
    </row>
    <row r="16" spans="1:26" x14ac:dyDescent="0.45">
      <c r="A16" t="s">
        <v>84</v>
      </c>
      <c r="B16" t="s">
        <v>85</v>
      </c>
      <c r="C16" t="s">
        <v>44</v>
      </c>
      <c r="D16" t="s">
        <v>63</v>
      </c>
      <c r="E16" t="s">
        <v>66</v>
      </c>
      <c r="F16" s="1">
        <v>0.65138888888888891</v>
      </c>
      <c r="G16" s="1">
        <v>0.69027777777777777</v>
      </c>
      <c r="H16">
        <v>56</v>
      </c>
      <c r="I16" t="s">
        <v>31</v>
      </c>
      <c r="J16">
        <v>304</v>
      </c>
      <c r="K16">
        <v>259</v>
      </c>
      <c r="L16">
        <v>28</v>
      </c>
      <c r="M16">
        <v>21</v>
      </c>
      <c r="N16">
        <v>58</v>
      </c>
      <c r="O16">
        <v>13</v>
      </c>
      <c r="P16">
        <v>676</v>
      </c>
      <c r="Q16">
        <v>210</v>
      </c>
      <c r="R16" t="s">
        <v>53</v>
      </c>
      <c r="S16">
        <v>1</v>
      </c>
      <c r="T16" t="s">
        <v>59</v>
      </c>
      <c r="U16" t="s">
        <v>48</v>
      </c>
      <c r="V16">
        <v>127</v>
      </c>
      <c r="W16">
        <v>1</v>
      </c>
      <c r="X16">
        <v>9.2105263157894732E-2</v>
      </c>
      <c r="Y16">
        <v>0.85197368421052633</v>
      </c>
      <c r="Z16" t="s">
        <v>35</v>
      </c>
    </row>
    <row r="17" spans="1:26" x14ac:dyDescent="0.45">
      <c r="A17" t="s">
        <v>86</v>
      </c>
      <c r="B17" t="s">
        <v>27</v>
      </c>
      <c r="C17" t="s">
        <v>28</v>
      </c>
      <c r="D17" t="s">
        <v>63</v>
      </c>
      <c r="E17" t="s">
        <v>66</v>
      </c>
      <c r="F17" s="1">
        <v>0.34722222222222221</v>
      </c>
      <c r="G17" s="1">
        <v>0.37222222222222223</v>
      </c>
      <c r="H17">
        <v>36</v>
      </c>
      <c r="I17" t="s">
        <v>31</v>
      </c>
      <c r="J17">
        <v>269</v>
      </c>
      <c r="K17">
        <v>230</v>
      </c>
      <c r="L17">
        <v>18</v>
      </c>
      <c r="M17">
        <v>16</v>
      </c>
      <c r="N17">
        <v>23</v>
      </c>
      <c r="O17">
        <v>35</v>
      </c>
      <c r="P17">
        <v>515</v>
      </c>
      <c r="Q17">
        <v>120</v>
      </c>
      <c r="R17" t="s">
        <v>53</v>
      </c>
      <c r="S17">
        <v>0</v>
      </c>
      <c r="T17" t="s">
        <v>59</v>
      </c>
      <c r="U17" t="s">
        <v>48</v>
      </c>
      <c r="V17">
        <v>94</v>
      </c>
      <c r="W17">
        <v>1</v>
      </c>
      <c r="X17">
        <v>6.6914498141263934E-2</v>
      </c>
      <c r="Y17">
        <v>0.85501858736059477</v>
      </c>
      <c r="Z17" t="s">
        <v>35</v>
      </c>
    </row>
    <row r="18" spans="1:26" x14ac:dyDescent="0.45">
      <c r="A18" t="s">
        <v>87</v>
      </c>
      <c r="B18" t="s">
        <v>88</v>
      </c>
      <c r="C18" t="s">
        <v>89</v>
      </c>
      <c r="D18" t="s">
        <v>90</v>
      </c>
      <c r="E18" t="s">
        <v>51</v>
      </c>
      <c r="F18" s="1">
        <v>0.41666666666666669</v>
      </c>
      <c r="G18" s="1">
        <v>0.47291666666666665</v>
      </c>
      <c r="H18">
        <v>81</v>
      </c>
      <c r="I18" t="s">
        <v>80</v>
      </c>
      <c r="J18">
        <v>124</v>
      </c>
      <c r="K18">
        <v>112</v>
      </c>
      <c r="L18">
        <v>9</v>
      </c>
      <c r="M18">
        <v>5</v>
      </c>
      <c r="N18">
        <v>85</v>
      </c>
      <c r="O18">
        <v>4</v>
      </c>
      <c r="P18">
        <v>1245</v>
      </c>
      <c r="Q18">
        <v>150</v>
      </c>
      <c r="R18" t="s">
        <v>32</v>
      </c>
      <c r="S18">
        <v>4</v>
      </c>
      <c r="T18" t="s">
        <v>33</v>
      </c>
      <c r="U18" t="s">
        <v>41</v>
      </c>
      <c r="V18">
        <v>170</v>
      </c>
      <c r="W18">
        <v>0</v>
      </c>
      <c r="X18">
        <v>7.2580645161290328E-2</v>
      </c>
      <c r="Y18">
        <v>0.90322580645161288</v>
      </c>
      <c r="Z18" t="s">
        <v>35</v>
      </c>
    </row>
    <row r="19" spans="1:26" x14ac:dyDescent="0.45">
      <c r="A19" t="s">
        <v>91</v>
      </c>
      <c r="B19" t="s">
        <v>92</v>
      </c>
      <c r="C19" t="s">
        <v>62</v>
      </c>
      <c r="D19" t="s">
        <v>45</v>
      </c>
      <c r="E19" t="s">
        <v>93</v>
      </c>
      <c r="F19" s="1">
        <v>0.50902777777777775</v>
      </c>
      <c r="G19" s="1">
        <v>0.54374999999999996</v>
      </c>
      <c r="H19">
        <v>50</v>
      </c>
      <c r="I19" t="s">
        <v>47</v>
      </c>
      <c r="J19">
        <v>264</v>
      </c>
      <c r="K19">
        <v>233</v>
      </c>
      <c r="L19">
        <v>29</v>
      </c>
      <c r="M19">
        <v>26</v>
      </c>
      <c r="N19">
        <v>6</v>
      </c>
      <c r="O19">
        <v>24</v>
      </c>
      <c r="P19">
        <v>602</v>
      </c>
      <c r="Q19">
        <v>90</v>
      </c>
      <c r="R19" t="s">
        <v>53</v>
      </c>
      <c r="S19">
        <v>9</v>
      </c>
      <c r="T19" t="s">
        <v>54</v>
      </c>
      <c r="U19" t="s">
        <v>48</v>
      </c>
      <c r="V19">
        <v>80</v>
      </c>
      <c r="W19">
        <v>1</v>
      </c>
      <c r="X19">
        <v>0.10984848484848485</v>
      </c>
      <c r="Y19">
        <v>0.88257575757575757</v>
      </c>
      <c r="Z19" t="s">
        <v>35</v>
      </c>
    </row>
    <row r="20" spans="1:26" x14ac:dyDescent="0.45">
      <c r="A20" t="s">
        <v>94</v>
      </c>
      <c r="B20" t="s">
        <v>95</v>
      </c>
      <c r="C20" t="s">
        <v>89</v>
      </c>
      <c r="D20" t="s">
        <v>63</v>
      </c>
      <c r="E20" t="s">
        <v>46</v>
      </c>
      <c r="F20" s="1">
        <v>0.60833333333333328</v>
      </c>
      <c r="G20" s="1">
        <v>0.6791666666666667</v>
      </c>
      <c r="H20">
        <v>102</v>
      </c>
      <c r="I20" t="s">
        <v>80</v>
      </c>
      <c r="J20">
        <v>445</v>
      </c>
      <c r="K20">
        <v>387</v>
      </c>
      <c r="L20">
        <v>32</v>
      </c>
      <c r="M20">
        <v>31</v>
      </c>
      <c r="N20">
        <v>14</v>
      </c>
      <c r="O20">
        <v>58</v>
      </c>
      <c r="P20">
        <v>1717</v>
      </c>
      <c r="Q20">
        <v>150</v>
      </c>
      <c r="R20" t="s">
        <v>32</v>
      </c>
      <c r="S20">
        <v>1</v>
      </c>
      <c r="T20" t="s">
        <v>33</v>
      </c>
      <c r="U20" t="s">
        <v>48</v>
      </c>
      <c r="V20">
        <v>174</v>
      </c>
      <c r="W20">
        <v>0</v>
      </c>
      <c r="X20">
        <v>7.1910112359550568E-2</v>
      </c>
      <c r="Y20">
        <v>0.86966292134831458</v>
      </c>
      <c r="Z20" t="s">
        <v>35</v>
      </c>
    </row>
    <row r="21" spans="1:26" x14ac:dyDescent="0.45">
      <c r="A21" t="s">
        <v>96</v>
      </c>
      <c r="B21" t="s">
        <v>97</v>
      </c>
      <c r="C21" t="s">
        <v>89</v>
      </c>
      <c r="D21" t="s">
        <v>45</v>
      </c>
      <c r="E21" t="s">
        <v>51</v>
      </c>
      <c r="F21" s="1">
        <v>0.35347222222222224</v>
      </c>
      <c r="G21" s="1">
        <v>0.42152777777777778</v>
      </c>
      <c r="H21">
        <v>98</v>
      </c>
      <c r="I21" t="s">
        <v>31</v>
      </c>
      <c r="J21">
        <v>158</v>
      </c>
      <c r="K21">
        <v>158</v>
      </c>
      <c r="L21">
        <v>7</v>
      </c>
      <c r="M21">
        <v>4</v>
      </c>
      <c r="N21">
        <v>100</v>
      </c>
      <c r="O21">
        <v>13</v>
      </c>
      <c r="P21">
        <v>678</v>
      </c>
      <c r="Q21">
        <v>180</v>
      </c>
      <c r="R21" t="s">
        <v>32</v>
      </c>
      <c r="S21">
        <v>8</v>
      </c>
      <c r="T21" t="s">
        <v>33</v>
      </c>
      <c r="U21" t="s">
        <v>41</v>
      </c>
      <c r="V21">
        <v>211</v>
      </c>
      <c r="W21">
        <v>0</v>
      </c>
      <c r="X21">
        <v>4.4303797468354431E-2</v>
      </c>
      <c r="Y21">
        <v>1</v>
      </c>
      <c r="Z21" t="s">
        <v>35</v>
      </c>
    </row>
    <row r="22" spans="1:26" x14ac:dyDescent="0.45">
      <c r="A22" t="s">
        <v>98</v>
      </c>
      <c r="B22" t="s">
        <v>97</v>
      </c>
      <c r="C22" t="s">
        <v>89</v>
      </c>
      <c r="D22" t="s">
        <v>50</v>
      </c>
      <c r="E22" t="s">
        <v>93</v>
      </c>
      <c r="F22" s="1">
        <v>0.60277777777777775</v>
      </c>
      <c r="G22" s="1">
        <v>0.63263888888888886</v>
      </c>
      <c r="H22">
        <v>43</v>
      </c>
      <c r="I22" t="s">
        <v>40</v>
      </c>
      <c r="J22">
        <v>124</v>
      </c>
      <c r="K22">
        <v>108</v>
      </c>
      <c r="L22">
        <v>9</v>
      </c>
      <c r="M22">
        <v>4</v>
      </c>
      <c r="N22">
        <v>59</v>
      </c>
      <c r="O22">
        <v>53</v>
      </c>
      <c r="P22">
        <v>1370</v>
      </c>
      <c r="Q22">
        <v>90</v>
      </c>
      <c r="R22" t="s">
        <v>53</v>
      </c>
      <c r="S22">
        <v>2</v>
      </c>
      <c r="T22" t="s">
        <v>33</v>
      </c>
      <c r="U22" t="s">
        <v>34</v>
      </c>
      <c r="V22">
        <v>155</v>
      </c>
      <c r="W22">
        <v>1</v>
      </c>
      <c r="X22">
        <v>7.2580645161290328E-2</v>
      </c>
      <c r="Y22">
        <v>0.87096774193548387</v>
      </c>
      <c r="Z22" t="s">
        <v>35</v>
      </c>
    </row>
    <row r="23" spans="1:26" x14ac:dyDescent="0.45">
      <c r="A23" t="s">
        <v>99</v>
      </c>
      <c r="B23" t="s">
        <v>100</v>
      </c>
      <c r="C23" t="s">
        <v>44</v>
      </c>
      <c r="D23" t="s">
        <v>29</v>
      </c>
      <c r="E23" t="s">
        <v>51</v>
      </c>
      <c r="F23" s="1">
        <v>0.55555555555555558</v>
      </c>
      <c r="G23" s="1">
        <v>0.64166666666666672</v>
      </c>
      <c r="H23">
        <v>124</v>
      </c>
      <c r="I23" t="s">
        <v>80</v>
      </c>
      <c r="J23">
        <v>230</v>
      </c>
      <c r="K23">
        <v>191</v>
      </c>
      <c r="L23">
        <v>7</v>
      </c>
      <c r="M23">
        <v>3</v>
      </c>
      <c r="N23">
        <v>122</v>
      </c>
      <c r="O23">
        <v>31</v>
      </c>
      <c r="P23">
        <v>1820</v>
      </c>
      <c r="Q23">
        <v>180</v>
      </c>
      <c r="R23" t="s">
        <v>32</v>
      </c>
      <c r="S23">
        <v>7</v>
      </c>
      <c r="T23" t="s">
        <v>33</v>
      </c>
      <c r="U23" t="s">
        <v>41</v>
      </c>
      <c r="V23">
        <v>277</v>
      </c>
      <c r="W23">
        <v>0</v>
      </c>
      <c r="X23">
        <v>3.0434782608695653E-2</v>
      </c>
      <c r="Y23">
        <v>0.83043478260869563</v>
      </c>
      <c r="Z23" t="s">
        <v>35</v>
      </c>
    </row>
    <row r="24" spans="1:26" x14ac:dyDescent="0.45">
      <c r="A24" t="s">
        <v>101</v>
      </c>
      <c r="B24" t="s">
        <v>102</v>
      </c>
      <c r="C24" t="s">
        <v>38</v>
      </c>
      <c r="D24" t="s">
        <v>90</v>
      </c>
      <c r="E24" t="s">
        <v>66</v>
      </c>
      <c r="F24" s="1">
        <v>0.6479166666666667</v>
      </c>
      <c r="G24" s="1">
        <v>0.66388888888888886</v>
      </c>
      <c r="H24">
        <v>23</v>
      </c>
      <c r="I24" t="s">
        <v>52</v>
      </c>
      <c r="J24">
        <v>386</v>
      </c>
      <c r="K24">
        <v>328</v>
      </c>
      <c r="L24">
        <v>12</v>
      </c>
      <c r="M24">
        <v>6</v>
      </c>
      <c r="N24">
        <v>97</v>
      </c>
      <c r="O24">
        <v>21</v>
      </c>
      <c r="P24">
        <v>530</v>
      </c>
      <c r="Q24">
        <v>210</v>
      </c>
      <c r="R24" t="s">
        <v>53</v>
      </c>
      <c r="S24">
        <v>2</v>
      </c>
      <c r="T24" t="s">
        <v>59</v>
      </c>
      <c r="U24" t="s">
        <v>41</v>
      </c>
      <c r="V24">
        <v>141</v>
      </c>
      <c r="W24">
        <v>1</v>
      </c>
      <c r="X24">
        <v>3.1088082901554404E-2</v>
      </c>
      <c r="Y24">
        <v>0.84974093264248707</v>
      </c>
      <c r="Z24" t="s">
        <v>35</v>
      </c>
    </row>
    <row r="25" spans="1:26" x14ac:dyDescent="0.45">
      <c r="A25" t="s">
        <v>103</v>
      </c>
      <c r="B25" t="s">
        <v>72</v>
      </c>
      <c r="C25" t="s">
        <v>28</v>
      </c>
      <c r="D25" t="s">
        <v>45</v>
      </c>
      <c r="E25" t="s">
        <v>46</v>
      </c>
      <c r="F25" s="1">
        <v>0.46597222222222223</v>
      </c>
      <c r="G25" s="1">
        <v>0.48055555555555557</v>
      </c>
      <c r="H25">
        <v>21</v>
      </c>
      <c r="I25" t="s">
        <v>47</v>
      </c>
      <c r="J25">
        <v>419</v>
      </c>
      <c r="K25">
        <v>345</v>
      </c>
      <c r="L25">
        <v>5</v>
      </c>
      <c r="M25">
        <v>2</v>
      </c>
      <c r="N25">
        <v>40</v>
      </c>
      <c r="O25">
        <v>67</v>
      </c>
      <c r="P25">
        <v>521</v>
      </c>
      <c r="Q25">
        <v>210</v>
      </c>
      <c r="R25" t="s">
        <v>53</v>
      </c>
      <c r="S25">
        <v>2</v>
      </c>
      <c r="T25" t="s">
        <v>59</v>
      </c>
      <c r="U25" t="s">
        <v>104</v>
      </c>
      <c r="V25">
        <v>128</v>
      </c>
      <c r="W25">
        <v>1</v>
      </c>
      <c r="X25">
        <v>1.1933174224343675E-2</v>
      </c>
      <c r="Y25">
        <v>0.8233890214797136</v>
      </c>
      <c r="Z25" t="s">
        <v>35</v>
      </c>
    </row>
    <row r="26" spans="1:26" x14ac:dyDescent="0.45">
      <c r="A26" t="s">
        <v>105</v>
      </c>
      <c r="B26" t="s">
        <v>72</v>
      </c>
      <c r="C26" t="s">
        <v>28</v>
      </c>
      <c r="D26" t="s">
        <v>90</v>
      </c>
      <c r="E26" t="s">
        <v>93</v>
      </c>
      <c r="F26" s="1">
        <v>0.35138888888888886</v>
      </c>
      <c r="G26" s="1">
        <v>0.38124999999999998</v>
      </c>
      <c r="H26">
        <v>43</v>
      </c>
      <c r="I26" t="s">
        <v>47</v>
      </c>
      <c r="J26">
        <v>326</v>
      </c>
      <c r="K26">
        <v>314</v>
      </c>
      <c r="L26">
        <v>32</v>
      </c>
      <c r="M26">
        <v>12</v>
      </c>
      <c r="N26">
        <v>37</v>
      </c>
      <c r="O26">
        <v>61</v>
      </c>
      <c r="P26">
        <v>820</v>
      </c>
      <c r="Q26">
        <v>150</v>
      </c>
      <c r="R26" t="s">
        <v>53</v>
      </c>
      <c r="S26">
        <v>3</v>
      </c>
      <c r="T26" t="s">
        <v>54</v>
      </c>
      <c r="U26" t="s">
        <v>104</v>
      </c>
      <c r="V26">
        <v>141</v>
      </c>
      <c r="W26">
        <v>1</v>
      </c>
      <c r="X26">
        <v>9.815950920245399E-2</v>
      </c>
      <c r="Y26">
        <v>0.96319018404907975</v>
      </c>
      <c r="Z26" t="s">
        <v>35</v>
      </c>
    </row>
    <row r="27" spans="1:26" x14ac:dyDescent="0.45">
      <c r="A27" t="s">
        <v>106</v>
      </c>
      <c r="B27" t="s">
        <v>75</v>
      </c>
      <c r="C27" t="s">
        <v>69</v>
      </c>
      <c r="D27" t="s">
        <v>29</v>
      </c>
      <c r="E27" t="s">
        <v>46</v>
      </c>
      <c r="F27" s="1">
        <v>0.46041666666666664</v>
      </c>
      <c r="G27" s="1">
        <v>0.49583333333333335</v>
      </c>
      <c r="H27">
        <v>51</v>
      </c>
      <c r="I27" t="s">
        <v>31</v>
      </c>
      <c r="J27">
        <v>452</v>
      </c>
      <c r="K27">
        <v>443</v>
      </c>
      <c r="L27">
        <v>30</v>
      </c>
      <c r="M27">
        <v>12</v>
      </c>
      <c r="N27">
        <v>1</v>
      </c>
      <c r="O27">
        <v>0</v>
      </c>
      <c r="P27">
        <v>369</v>
      </c>
      <c r="Q27">
        <v>90</v>
      </c>
      <c r="R27" t="s">
        <v>53</v>
      </c>
      <c r="S27">
        <v>0</v>
      </c>
      <c r="T27" t="s">
        <v>59</v>
      </c>
      <c r="U27" t="s">
        <v>64</v>
      </c>
      <c r="V27">
        <v>52</v>
      </c>
      <c r="W27">
        <v>1</v>
      </c>
      <c r="X27">
        <v>6.637168141592921E-2</v>
      </c>
      <c r="Y27">
        <v>0.98008849557522126</v>
      </c>
      <c r="Z27" t="s">
        <v>35</v>
      </c>
    </row>
    <row r="28" spans="1:26" x14ac:dyDescent="0.45">
      <c r="A28" t="s">
        <v>107</v>
      </c>
      <c r="B28" t="s">
        <v>85</v>
      </c>
      <c r="C28" t="s">
        <v>44</v>
      </c>
      <c r="D28" t="s">
        <v>39</v>
      </c>
      <c r="E28" t="s">
        <v>46</v>
      </c>
      <c r="F28" s="1">
        <v>0.44722222222222224</v>
      </c>
      <c r="G28" s="1">
        <v>0.48749999999999999</v>
      </c>
      <c r="H28">
        <v>58</v>
      </c>
      <c r="I28" t="s">
        <v>78</v>
      </c>
      <c r="J28">
        <v>115</v>
      </c>
      <c r="K28">
        <v>97</v>
      </c>
      <c r="L28">
        <v>4</v>
      </c>
      <c r="M28">
        <v>3</v>
      </c>
      <c r="N28">
        <v>98</v>
      </c>
      <c r="O28">
        <v>40</v>
      </c>
      <c r="P28">
        <v>887</v>
      </c>
      <c r="Q28">
        <v>210</v>
      </c>
      <c r="R28" t="s">
        <v>53</v>
      </c>
      <c r="S28">
        <v>5</v>
      </c>
      <c r="T28" t="s">
        <v>54</v>
      </c>
      <c r="U28" t="s">
        <v>41</v>
      </c>
      <c r="V28">
        <v>196</v>
      </c>
      <c r="W28">
        <v>1</v>
      </c>
      <c r="X28">
        <v>3.4782608695652174E-2</v>
      </c>
      <c r="Y28">
        <v>0.84347826086956523</v>
      </c>
      <c r="Z28" t="s">
        <v>35</v>
      </c>
    </row>
    <row r="29" spans="1:26" x14ac:dyDescent="0.45">
      <c r="A29" t="s">
        <v>108</v>
      </c>
      <c r="B29" t="s">
        <v>56</v>
      </c>
      <c r="C29" t="s">
        <v>28</v>
      </c>
      <c r="D29" t="s">
        <v>63</v>
      </c>
      <c r="E29" t="s">
        <v>58</v>
      </c>
      <c r="F29" s="1">
        <v>0.46736111111111112</v>
      </c>
      <c r="G29" s="1">
        <v>0.47430555555555554</v>
      </c>
      <c r="H29">
        <v>10</v>
      </c>
      <c r="I29" t="s">
        <v>78</v>
      </c>
      <c r="J29">
        <v>95</v>
      </c>
      <c r="K29">
        <v>79</v>
      </c>
      <c r="L29">
        <v>4</v>
      </c>
      <c r="M29">
        <v>3</v>
      </c>
      <c r="N29">
        <v>46</v>
      </c>
      <c r="O29">
        <v>32</v>
      </c>
      <c r="P29">
        <v>416</v>
      </c>
      <c r="Q29">
        <v>180</v>
      </c>
      <c r="R29" t="s">
        <v>53</v>
      </c>
      <c r="S29">
        <v>2</v>
      </c>
      <c r="T29" t="s">
        <v>59</v>
      </c>
      <c r="U29" t="s">
        <v>48</v>
      </c>
      <c r="V29">
        <v>88</v>
      </c>
      <c r="W29">
        <v>1</v>
      </c>
      <c r="X29">
        <v>4.2105263157894736E-2</v>
      </c>
      <c r="Y29">
        <v>0.83157894736842108</v>
      </c>
      <c r="Z29" t="s">
        <v>35</v>
      </c>
    </row>
    <row r="30" spans="1:26" x14ac:dyDescent="0.45">
      <c r="A30" t="s">
        <v>109</v>
      </c>
      <c r="B30" t="s">
        <v>68</v>
      </c>
      <c r="C30" t="s">
        <v>69</v>
      </c>
      <c r="D30" t="s">
        <v>90</v>
      </c>
      <c r="E30" t="s">
        <v>76</v>
      </c>
      <c r="F30" s="1">
        <v>0.64444444444444449</v>
      </c>
      <c r="G30" s="1">
        <v>0.72013888888888888</v>
      </c>
      <c r="H30">
        <v>109</v>
      </c>
      <c r="I30" t="s">
        <v>40</v>
      </c>
      <c r="J30">
        <v>439</v>
      </c>
      <c r="K30">
        <v>438</v>
      </c>
      <c r="L30">
        <v>15</v>
      </c>
      <c r="M30">
        <v>10</v>
      </c>
      <c r="N30">
        <v>128</v>
      </c>
      <c r="O30">
        <v>76</v>
      </c>
      <c r="P30">
        <v>2703</v>
      </c>
      <c r="Q30">
        <v>90</v>
      </c>
      <c r="R30" t="s">
        <v>32</v>
      </c>
      <c r="S30">
        <v>6</v>
      </c>
      <c r="T30" t="s">
        <v>33</v>
      </c>
      <c r="U30" t="s">
        <v>41</v>
      </c>
      <c r="V30">
        <v>313</v>
      </c>
      <c r="W30">
        <v>0</v>
      </c>
      <c r="X30">
        <v>3.4168564920273349E-2</v>
      </c>
      <c r="Y30">
        <v>0.99772209567198178</v>
      </c>
      <c r="Z30" t="s">
        <v>35</v>
      </c>
    </row>
    <row r="31" spans="1:26" x14ac:dyDescent="0.45">
      <c r="A31" t="s">
        <v>110</v>
      </c>
      <c r="B31" t="s">
        <v>27</v>
      </c>
      <c r="C31" t="s">
        <v>28</v>
      </c>
      <c r="D31" t="s">
        <v>39</v>
      </c>
      <c r="E31" t="s">
        <v>58</v>
      </c>
      <c r="F31" s="1">
        <v>0.61111111111111116</v>
      </c>
      <c r="G31" s="1">
        <v>0.67083333333333328</v>
      </c>
      <c r="H31">
        <v>86</v>
      </c>
      <c r="I31" t="s">
        <v>52</v>
      </c>
      <c r="J31">
        <v>40</v>
      </c>
      <c r="K31">
        <v>38</v>
      </c>
      <c r="L31">
        <v>4</v>
      </c>
      <c r="M31">
        <v>2</v>
      </c>
      <c r="N31">
        <v>129</v>
      </c>
      <c r="O31">
        <v>25</v>
      </c>
      <c r="P31">
        <v>1399</v>
      </c>
      <c r="Q31">
        <v>240</v>
      </c>
      <c r="R31" t="s">
        <v>53</v>
      </c>
      <c r="S31">
        <v>3</v>
      </c>
      <c r="T31" t="s">
        <v>54</v>
      </c>
      <c r="U31" t="s">
        <v>41</v>
      </c>
      <c r="V31">
        <v>240</v>
      </c>
      <c r="W31">
        <v>1</v>
      </c>
      <c r="X31">
        <v>0.1</v>
      </c>
      <c r="Y31">
        <v>0.95</v>
      </c>
      <c r="Z31" t="s">
        <v>35</v>
      </c>
    </row>
    <row r="32" spans="1:26" x14ac:dyDescent="0.45">
      <c r="A32" t="s">
        <v>111</v>
      </c>
      <c r="B32" t="s">
        <v>75</v>
      </c>
      <c r="C32" t="s">
        <v>69</v>
      </c>
      <c r="D32" t="s">
        <v>57</v>
      </c>
      <c r="E32" t="s">
        <v>58</v>
      </c>
      <c r="F32" s="1">
        <v>0.60277777777777775</v>
      </c>
      <c r="G32" s="1">
        <v>0.69097222222222221</v>
      </c>
      <c r="H32">
        <v>127</v>
      </c>
      <c r="I32" t="s">
        <v>40</v>
      </c>
      <c r="J32">
        <v>496</v>
      </c>
      <c r="K32">
        <v>415</v>
      </c>
      <c r="L32">
        <v>39</v>
      </c>
      <c r="M32">
        <v>20</v>
      </c>
      <c r="N32">
        <v>112</v>
      </c>
      <c r="O32">
        <v>41</v>
      </c>
      <c r="P32">
        <v>2718</v>
      </c>
      <c r="Q32">
        <v>180</v>
      </c>
      <c r="R32" t="s">
        <v>32</v>
      </c>
      <c r="S32">
        <v>6</v>
      </c>
      <c r="T32" t="s">
        <v>33</v>
      </c>
      <c r="U32" t="s">
        <v>41</v>
      </c>
      <c r="V32">
        <v>280</v>
      </c>
      <c r="W32">
        <v>0</v>
      </c>
      <c r="X32">
        <v>7.8629032258064516E-2</v>
      </c>
      <c r="Y32">
        <v>0.83669354838709675</v>
      </c>
      <c r="Z32" t="s">
        <v>35</v>
      </c>
    </row>
    <row r="33" spans="1:26" x14ac:dyDescent="0.45">
      <c r="A33" t="s">
        <v>112</v>
      </c>
      <c r="B33" t="s">
        <v>85</v>
      </c>
      <c r="C33" t="s">
        <v>44</v>
      </c>
      <c r="D33" t="s">
        <v>29</v>
      </c>
      <c r="E33" t="s">
        <v>30</v>
      </c>
      <c r="F33" s="1">
        <v>0.46319444444444446</v>
      </c>
      <c r="G33" s="1">
        <v>0.48125000000000001</v>
      </c>
      <c r="H33">
        <v>26</v>
      </c>
      <c r="I33" t="s">
        <v>31</v>
      </c>
      <c r="J33">
        <v>217</v>
      </c>
      <c r="K33">
        <v>181</v>
      </c>
      <c r="L33">
        <v>8</v>
      </c>
      <c r="M33">
        <v>2</v>
      </c>
      <c r="N33">
        <v>20</v>
      </c>
      <c r="O33">
        <v>59</v>
      </c>
      <c r="P33">
        <v>538</v>
      </c>
      <c r="Q33">
        <v>150</v>
      </c>
      <c r="R33" t="s">
        <v>53</v>
      </c>
      <c r="S33">
        <v>0</v>
      </c>
      <c r="T33" t="s">
        <v>59</v>
      </c>
      <c r="U33" t="s">
        <v>104</v>
      </c>
      <c r="V33">
        <v>105</v>
      </c>
      <c r="W33">
        <v>1</v>
      </c>
      <c r="X33">
        <v>3.6866359447004608E-2</v>
      </c>
      <c r="Y33">
        <v>0.83410138248847931</v>
      </c>
      <c r="Z33" t="s">
        <v>35</v>
      </c>
    </row>
    <row r="34" spans="1:26" x14ac:dyDescent="0.45">
      <c r="A34" t="s">
        <v>113</v>
      </c>
      <c r="B34" t="s">
        <v>114</v>
      </c>
      <c r="C34" t="s">
        <v>69</v>
      </c>
      <c r="D34" t="s">
        <v>63</v>
      </c>
      <c r="E34" t="s">
        <v>93</v>
      </c>
      <c r="F34" s="1">
        <v>0.43472222222222223</v>
      </c>
      <c r="G34" s="1">
        <v>0.53125</v>
      </c>
      <c r="H34">
        <v>139</v>
      </c>
      <c r="I34" t="s">
        <v>52</v>
      </c>
      <c r="J34">
        <v>177</v>
      </c>
      <c r="K34">
        <v>171</v>
      </c>
      <c r="L34">
        <v>18</v>
      </c>
      <c r="M34">
        <v>7</v>
      </c>
      <c r="N34">
        <v>7</v>
      </c>
      <c r="O34">
        <v>23</v>
      </c>
      <c r="P34">
        <v>1557</v>
      </c>
      <c r="Q34">
        <v>180</v>
      </c>
      <c r="R34" t="s">
        <v>53</v>
      </c>
      <c r="S34">
        <v>5</v>
      </c>
      <c r="T34" t="s">
        <v>54</v>
      </c>
      <c r="U34" t="s">
        <v>34</v>
      </c>
      <c r="V34">
        <v>169</v>
      </c>
      <c r="W34">
        <v>1</v>
      </c>
      <c r="X34">
        <v>0.10169491525423729</v>
      </c>
      <c r="Y34">
        <v>0.96610169491525422</v>
      </c>
      <c r="Z34" t="s">
        <v>35</v>
      </c>
    </row>
    <row r="35" spans="1:26" x14ac:dyDescent="0.45">
      <c r="A35" t="s">
        <v>115</v>
      </c>
      <c r="B35" t="s">
        <v>88</v>
      </c>
      <c r="C35" t="s">
        <v>89</v>
      </c>
      <c r="D35" t="s">
        <v>63</v>
      </c>
      <c r="E35" t="s">
        <v>30</v>
      </c>
      <c r="F35" s="1">
        <v>0.51736111111111116</v>
      </c>
      <c r="G35" s="1">
        <v>0.61319444444444449</v>
      </c>
      <c r="H35">
        <v>138</v>
      </c>
      <c r="I35" t="s">
        <v>40</v>
      </c>
      <c r="J35">
        <v>440</v>
      </c>
      <c r="K35">
        <v>412</v>
      </c>
      <c r="L35">
        <v>22</v>
      </c>
      <c r="M35">
        <v>7</v>
      </c>
      <c r="N35">
        <v>78</v>
      </c>
      <c r="O35">
        <v>47</v>
      </c>
      <c r="P35">
        <v>2931</v>
      </c>
      <c r="Q35">
        <v>120</v>
      </c>
      <c r="R35" t="s">
        <v>32</v>
      </c>
      <c r="S35">
        <v>3</v>
      </c>
      <c r="T35" t="s">
        <v>33</v>
      </c>
      <c r="U35" t="s">
        <v>81</v>
      </c>
      <c r="V35">
        <v>263</v>
      </c>
      <c r="W35">
        <v>0</v>
      </c>
      <c r="X35">
        <v>0.05</v>
      </c>
      <c r="Y35">
        <v>0.9363636363636364</v>
      </c>
      <c r="Z35" t="s">
        <v>35</v>
      </c>
    </row>
    <row r="36" spans="1:26" x14ac:dyDescent="0.45">
      <c r="A36" t="s">
        <v>116</v>
      </c>
      <c r="B36" t="s">
        <v>102</v>
      </c>
      <c r="C36" t="s">
        <v>38</v>
      </c>
      <c r="D36" t="s">
        <v>90</v>
      </c>
      <c r="E36" t="s">
        <v>70</v>
      </c>
      <c r="F36" s="1">
        <v>0.42986111111111114</v>
      </c>
      <c r="G36" s="1">
        <v>0.53055555555555556</v>
      </c>
      <c r="H36">
        <v>145</v>
      </c>
      <c r="I36" t="s">
        <v>80</v>
      </c>
      <c r="J36">
        <v>117</v>
      </c>
      <c r="K36">
        <v>106</v>
      </c>
      <c r="L36">
        <v>0</v>
      </c>
      <c r="M36">
        <v>0</v>
      </c>
      <c r="N36">
        <v>8</v>
      </c>
      <c r="O36">
        <v>67</v>
      </c>
      <c r="P36">
        <v>1865</v>
      </c>
      <c r="Q36">
        <v>150</v>
      </c>
      <c r="R36" t="s">
        <v>32</v>
      </c>
      <c r="S36">
        <v>7</v>
      </c>
      <c r="T36" t="s">
        <v>33</v>
      </c>
      <c r="U36" t="s">
        <v>81</v>
      </c>
      <c r="V36">
        <v>220</v>
      </c>
      <c r="W36">
        <v>0</v>
      </c>
      <c r="X36">
        <v>0</v>
      </c>
      <c r="Y36">
        <v>0.90598290598290598</v>
      </c>
      <c r="Z36" t="s">
        <v>35</v>
      </c>
    </row>
    <row r="37" spans="1:26" x14ac:dyDescent="0.45">
      <c r="A37" t="s">
        <v>117</v>
      </c>
      <c r="B37" t="s">
        <v>37</v>
      </c>
      <c r="C37" t="s">
        <v>38</v>
      </c>
      <c r="D37" t="s">
        <v>90</v>
      </c>
      <c r="E37" t="s">
        <v>30</v>
      </c>
      <c r="F37" s="1">
        <v>0.47083333333333333</v>
      </c>
      <c r="G37" s="1">
        <v>0.54374999999999996</v>
      </c>
      <c r="H37">
        <v>105</v>
      </c>
      <c r="I37" t="s">
        <v>40</v>
      </c>
      <c r="J37">
        <v>406</v>
      </c>
      <c r="K37">
        <v>364</v>
      </c>
      <c r="L37">
        <v>35</v>
      </c>
      <c r="M37">
        <v>12</v>
      </c>
      <c r="N37">
        <v>27</v>
      </c>
      <c r="O37">
        <v>33</v>
      </c>
      <c r="P37">
        <v>2250</v>
      </c>
      <c r="Q37">
        <v>210</v>
      </c>
      <c r="R37" t="s">
        <v>53</v>
      </c>
      <c r="S37">
        <v>2</v>
      </c>
      <c r="T37" t="s">
        <v>59</v>
      </c>
      <c r="U37" t="s">
        <v>81</v>
      </c>
      <c r="V37">
        <v>165</v>
      </c>
      <c r="W37">
        <v>1</v>
      </c>
      <c r="X37">
        <v>8.6206896551724144E-2</v>
      </c>
      <c r="Y37">
        <v>0.89655172413793105</v>
      </c>
      <c r="Z37" t="s">
        <v>35</v>
      </c>
    </row>
    <row r="38" spans="1:26" x14ac:dyDescent="0.45">
      <c r="A38" t="s">
        <v>118</v>
      </c>
      <c r="B38" t="s">
        <v>37</v>
      </c>
      <c r="C38" t="s">
        <v>38</v>
      </c>
      <c r="D38" t="s">
        <v>63</v>
      </c>
      <c r="E38" t="s">
        <v>93</v>
      </c>
      <c r="F38" s="1">
        <v>0.50694444444444442</v>
      </c>
      <c r="G38" s="1">
        <v>0.55208333333333337</v>
      </c>
      <c r="H38">
        <v>65</v>
      </c>
      <c r="I38" t="s">
        <v>31</v>
      </c>
      <c r="J38">
        <v>121</v>
      </c>
      <c r="K38">
        <v>118</v>
      </c>
      <c r="L38">
        <v>1</v>
      </c>
      <c r="M38">
        <v>0</v>
      </c>
      <c r="N38">
        <v>72</v>
      </c>
      <c r="O38">
        <v>24</v>
      </c>
      <c r="P38">
        <v>655</v>
      </c>
      <c r="Q38">
        <v>180</v>
      </c>
      <c r="R38" t="s">
        <v>32</v>
      </c>
      <c r="S38">
        <v>5</v>
      </c>
      <c r="T38" t="s">
        <v>54</v>
      </c>
      <c r="U38" t="s">
        <v>64</v>
      </c>
      <c r="V38">
        <v>161</v>
      </c>
      <c r="W38">
        <v>0</v>
      </c>
      <c r="X38">
        <v>8.2644628099173556E-3</v>
      </c>
      <c r="Y38">
        <v>0.97520661157024791</v>
      </c>
      <c r="Z38" t="s">
        <v>35</v>
      </c>
    </row>
    <row r="39" spans="1:26" x14ac:dyDescent="0.45">
      <c r="A39" t="s">
        <v>119</v>
      </c>
      <c r="B39" t="s">
        <v>88</v>
      </c>
      <c r="C39" t="s">
        <v>89</v>
      </c>
      <c r="D39" t="s">
        <v>90</v>
      </c>
      <c r="E39" t="s">
        <v>58</v>
      </c>
      <c r="F39" s="1">
        <v>0.34722222222222221</v>
      </c>
      <c r="G39" s="1">
        <v>0.40208333333333335</v>
      </c>
      <c r="H39">
        <v>79</v>
      </c>
      <c r="I39" t="s">
        <v>47</v>
      </c>
      <c r="J39">
        <v>467</v>
      </c>
      <c r="K39">
        <v>444</v>
      </c>
      <c r="L39">
        <v>19</v>
      </c>
      <c r="M39">
        <v>13</v>
      </c>
      <c r="N39">
        <v>14</v>
      </c>
      <c r="O39">
        <v>51</v>
      </c>
      <c r="P39">
        <v>721</v>
      </c>
      <c r="Q39">
        <v>240</v>
      </c>
      <c r="R39" t="s">
        <v>53</v>
      </c>
      <c r="S39">
        <v>2</v>
      </c>
      <c r="T39" t="s">
        <v>59</v>
      </c>
      <c r="U39" t="s">
        <v>48</v>
      </c>
      <c r="V39">
        <v>144</v>
      </c>
      <c r="W39">
        <v>1</v>
      </c>
      <c r="X39">
        <v>4.068522483940043E-2</v>
      </c>
      <c r="Y39">
        <v>0.95074946466809418</v>
      </c>
      <c r="Z39" t="s">
        <v>35</v>
      </c>
    </row>
    <row r="40" spans="1:26" x14ac:dyDescent="0.45">
      <c r="A40" t="s">
        <v>120</v>
      </c>
      <c r="B40" t="s">
        <v>72</v>
      </c>
      <c r="C40" t="s">
        <v>28</v>
      </c>
      <c r="D40" t="s">
        <v>39</v>
      </c>
      <c r="E40" t="s">
        <v>51</v>
      </c>
      <c r="F40" s="1">
        <v>0.50486111111111109</v>
      </c>
      <c r="G40" s="1">
        <v>0.5444444444444444</v>
      </c>
      <c r="H40">
        <v>57</v>
      </c>
      <c r="I40" t="s">
        <v>47</v>
      </c>
      <c r="J40">
        <v>83</v>
      </c>
      <c r="K40">
        <v>72</v>
      </c>
      <c r="L40">
        <v>3</v>
      </c>
      <c r="M40">
        <v>1</v>
      </c>
      <c r="N40">
        <v>97</v>
      </c>
      <c r="O40">
        <v>67</v>
      </c>
      <c r="P40">
        <v>1100</v>
      </c>
      <c r="Q40">
        <v>150</v>
      </c>
      <c r="R40" t="s">
        <v>32</v>
      </c>
      <c r="S40">
        <v>2</v>
      </c>
      <c r="T40" t="s">
        <v>33</v>
      </c>
      <c r="U40" t="s">
        <v>41</v>
      </c>
      <c r="V40">
        <v>221</v>
      </c>
      <c r="W40">
        <v>0</v>
      </c>
      <c r="X40">
        <v>3.614457831325301E-2</v>
      </c>
      <c r="Y40">
        <v>0.86746987951807231</v>
      </c>
      <c r="Z40" t="s">
        <v>35</v>
      </c>
    </row>
    <row r="41" spans="1:26" x14ac:dyDescent="0.45">
      <c r="A41" t="s">
        <v>121</v>
      </c>
      <c r="B41" t="s">
        <v>102</v>
      </c>
      <c r="C41" t="s">
        <v>38</v>
      </c>
      <c r="D41" t="s">
        <v>45</v>
      </c>
      <c r="E41" t="s">
        <v>51</v>
      </c>
      <c r="F41" s="1">
        <v>0.56458333333333333</v>
      </c>
      <c r="G41" s="1">
        <v>0.66527777777777775</v>
      </c>
      <c r="H41">
        <v>145</v>
      </c>
      <c r="I41" t="s">
        <v>47</v>
      </c>
      <c r="J41">
        <v>275</v>
      </c>
      <c r="K41">
        <v>233</v>
      </c>
      <c r="L41">
        <v>22</v>
      </c>
      <c r="M41">
        <v>19</v>
      </c>
      <c r="N41">
        <v>65</v>
      </c>
      <c r="O41">
        <v>67</v>
      </c>
      <c r="P41">
        <v>1539</v>
      </c>
      <c r="Q41">
        <v>210</v>
      </c>
      <c r="R41" t="s">
        <v>32</v>
      </c>
      <c r="S41">
        <v>2</v>
      </c>
      <c r="T41" t="s">
        <v>33</v>
      </c>
      <c r="U41" t="s">
        <v>48</v>
      </c>
      <c r="V41">
        <v>277</v>
      </c>
      <c r="W41">
        <v>0</v>
      </c>
      <c r="X41">
        <v>0.08</v>
      </c>
      <c r="Y41">
        <v>0.84727272727272729</v>
      </c>
      <c r="Z41" t="s">
        <v>35</v>
      </c>
    </row>
    <row r="42" spans="1:26" x14ac:dyDescent="0.45">
      <c r="A42" t="s">
        <v>122</v>
      </c>
      <c r="B42" t="s">
        <v>68</v>
      </c>
      <c r="C42" t="s">
        <v>69</v>
      </c>
      <c r="D42" t="s">
        <v>63</v>
      </c>
      <c r="E42" t="s">
        <v>66</v>
      </c>
      <c r="F42" s="1">
        <v>0.3527777777777778</v>
      </c>
      <c r="G42" s="1">
        <v>0.39791666666666664</v>
      </c>
      <c r="H42">
        <v>65</v>
      </c>
      <c r="I42" t="s">
        <v>47</v>
      </c>
      <c r="J42">
        <v>306</v>
      </c>
      <c r="K42">
        <v>255</v>
      </c>
      <c r="L42">
        <v>26</v>
      </c>
      <c r="M42">
        <v>18</v>
      </c>
      <c r="N42">
        <v>1</v>
      </c>
      <c r="O42">
        <v>16</v>
      </c>
      <c r="P42">
        <v>648</v>
      </c>
      <c r="Q42">
        <v>120</v>
      </c>
      <c r="R42" t="s">
        <v>53</v>
      </c>
      <c r="S42">
        <v>1</v>
      </c>
      <c r="T42" t="s">
        <v>59</v>
      </c>
      <c r="U42" t="s">
        <v>48</v>
      </c>
      <c r="V42">
        <v>82</v>
      </c>
      <c r="W42">
        <v>1</v>
      </c>
      <c r="X42">
        <v>8.4967320261437912E-2</v>
      </c>
      <c r="Y42">
        <v>0.83333333333333337</v>
      </c>
      <c r="Z42" t="s">
        <v>35</v>
      </c>
    </row>
    <row r="43" spans="1:26" x14ac:dyDescent="0.45">
      <c r="A43" t="s">
        <v>123</v>
      </c>
      <c r="B43" t="s">
        <v>124</v>
      </c>
      <c r="C43" t="s">
        <v>38</v>
      </c>
      <c r="D43" t="s">
        <v>39</v>
      </c>
      <c r="E43" t="s">
        <v>51</v>
      </c>
      <c r="F43" s="1">
        <v>0.50902777777777775</v>
      </c>
      <c r="G43" s="1">
        <v>0.55833333333333335</v>
      </c>
      <c r="H43">
        <v>71</v>
      </c>
      <c r="I43" t="s">
        <v>52</v>
      </c>
      <c r="J43">
        <v>474</v>
      </c>
      <c r="K43">
        <v>403</v>
      </c>
      <c r="L43">
        <v>25</v>
      </c>
      <c r="M43">
        <v>24</v>
      </c>
      <c r="N43">
        <v>92</v>
      </c>
      <c r="O43">
        <v>8</v>
      </c>
      <c r="P43">
        <v>950</v>
      </c>
      <c r="Q43">
        <v>150</v>
      </c>
      <c r="R43" t="s">
        <v>32</v>
      </c>
      <c r="S43">
        <v>1</v>
      </c>
      <c r="T43" t="s">
        <v>33</v>
      </c>
      <c r="U43" t="s">
        <v>41</v>
      </c>
      <c r="V43">
        <v>171</v>
      </c>
      <c r="W43">
        <v>0</v>
      </c>
      <c r="X43">
        <v>5.2742616033755275E-2</v>
      </c>
      <c r="Y43">
        <v>0.85021097046413507</v>
      </c>
      <c r="Z43" t="s">
        <v>35</v>
      </c>
    </row>
    <row r="44" spans="1:26" x14ac:dyDescent="0.45">
      <c r="A44" t="s">
        <v>125</v>
      </c>
      <c r="B44" t="s">
        <v>56</v>
      </c>
      <c r="C44" t="s">
        <v>28</v>
      </c>
      <c r="D44" t="s">
        <v>50</v>
      </c>
      <c r="E44" t="s">
        <v>58</v>
      </c>
      <c r="F44" s="1">
        <v>0.61736111111111114</v>
      </c>
      <c r="G44" s="1">
        <v>0.63611111111111107</v>
      </c>
      <c r="H44">
        <v>27</v>
      </c>
      <c r="I44" t="s">
        <v>52</v>
      </c>
      <c r="J44">
        <v>45</v>
      </c>
      <c r="K44">
        <v>45</v>
      </c>
      <c r="L44">
        <v>0</v>
      </c>
      <c r="M44">
        <v>0</v>
      </c>
      <c r="N44">
        <v>35</v>
      </c>
      <c r="O44">
        <v>80</v>
      </c>
      <c r="P44">
        <v>893</v>
      </c>
      <c r="Q44">
        <v>180</v>
      </c>
      <c r="R44" t="s">
        <v>53</v>
      </c>
      <c r="S44">
        <v>1</v>
      </c>
      <c r="T44" t="s">
        <v>59</v>
      </c>
      <c r="U44" t="s">
        <v>104</v>
      </c>
      <c r="V44">
        <v>142</v>
      </c>
      <c r="W44">
        <v>1</v>
      </c>
      <c r="X44">
        <v>0</v>
      </c>
      <c r="Y44">
        <v>1</v>
      </c>
      <c r="Z44" t="s">
        <v>35</v>
      </c>
    </row>
    <row r="45" spans="1:26" x14ac:dyDescent="0.45">
      <c r="A45" t="s">
        <v>126</v>
      </c>
      <c r="B45" t="s">
        <v>85</v>
      </c>
      <c r="C45" t="s">
        <v>44</v>
      </c>
      <c r="D45" t="s">
        <v>63</v>
      </c>
      <c r="E45" t="s">
        <v>51</v>
      </c>
      <c r="F45" s="1">
        <v>0.37222222222222223</v>
      </c>
      <c r="G45" s="1">
        <v>0.47638888888888886</v>
      </c>
      <c r="H45">
        <v>150</v>
      </c>
      <c r="I45" t="s">
        <v>78</v>
      </c>
      <c r="J45">
        <v>294</v>
      </c>
      <c r="K45">
        <v>267</v>
      </c>
      <c r="L45">
        <v>22</v>
      </c>
      <c r="M45">
        <v>18</v>
      </c>
      <c r="N45">
        <v>28</v>
      </c>
      <c r="O45">
        <v>62</v>
      </c>
      <c r="P45">
        <v>1510</v>
      </c>
      <c r="Q45">
        <v>120</v>
      </c>
      <c r="R45" t="s">
        <v>32</v>
      </c>
      <c r="S45">
        <v>8</v>
      </c>
      <c r="T45" t="s">
        <v>33</v>
      </c>
      <c r="U45" t="s">
        <v>48</v>
      </c>
      <c r="V45">
        <v>240</v>
      </c>
      <c r="W45">
        <v>0</v>
      </c>
      <c r="X45">
        <v>7.4829931972789115E-2</v>
      </c>
      <c r="Y45">
        <v>0.90816326530612246</v>
      </c>
      <c r="Z45" t="s">
        <v>35</v>
      </c>
    </row>
    <row r="46" spans="1:26" x14ac:dyDescent="0.45">
      <c r="A46" t="s">
        <v>127</v>
      </c>
      <c r="B46" t="s">
        <v>72</v>
      </c>
      <c r="C46" t="s">
        <v>28</v>
      </c>
      <c r="D46" t="s">
        <v>73</v>
      </c>
      <c r="E46" t="s">
        <v>93</v>
      </c>
      <c r="F46" s="1">
        <v>0.39791666666666664</v>
      </c>
      <c r="G46" s="1">
        <v>0.42916666666666664</v>
      </c>
      <c r="H46">
        <v>45</v>
      </c>
      <c r="I46" t="s">
        <v>52</v>
      </c>
      <c r="J46">
        <v>360</v>
      </c>
      <c r="K46">
        <v>304</v>
      </c>
      <c r="L46">
        <v>18</v>
      </c>
      <c r="M46">
        <v>14</v>
      </c>
      <c r="N46">
        <v>9</v>
      </c>
      <c r="O46">
        <v>70</v>
      </c>
      <c r="P46">
        <v>961</v>
      </c>
      <c r="Q46">
        <v>120</v>
      </c>
      <c r="R46" t="s">
        <v>32</v>
      </c>
      <c r="S46">
        <v>1</v>
      </c>
      <c r="T46" t="s">
        <v>33</v>
      </c>
      <c r="U46" t="s">
        <v>48</v>
      </c>
      <c r="V46">
        <v>124</v>
      </c>
      <c r="W46">
        <v>0</v>
      </c>
      <c r="X46">
        <v>0.05</v>
      </c>
      <c r="Y46">
        <v>0.84444444444444444</v>
      </c>
      <c r="Z46" t="s">
        <v>35</v>
      </c>
    </row>
    <row r="47" spans="1:26" x14ac:dyDescent="0.45">
      <c r="A47" t="s">
        <v>128</v>
      </c>
      <c r="B47" t="s">
        <v>75</v>
      </c>
      <c r="C47" t="s">
        <v>69</v>
      </c>
      <c r="D47" t="s">
        <v>73</v>
      </c>
      <c r="E47" t="s">
        <v>66</v>
      </c>
      <c r="F47" s="1">
        <v>0.43611111111111112</v>
      </c>
      <c r="G47" s="1">
        <v>0.53819444444444442</v>
      </c>
      <c r="H47">
        <v>147</v>
      </c>
      <c r="I47" t="s">
        <v>52</v>
      </c>
      <c r="J47">
        <v>97</v>
      </c>
      <c r="K47">
        <v>83</v>
      </c>
      <c r="L47">
        <v>11</v>
      </c>
      <c r="M47">
        <v>6</v>
      </c>
      <c r="N47">
        <v>64</v>
      </c>
      <c r="O47">
        <v>53</v>
      </c>
      <c r="P47">
        <v>1638</v>
      </c>
      <c r="Q47">
        <v>180</v>
      </c>
      <c r="R47" t="s">
        <v>32</v>
      </c>
      <c r="S47">
        <v>6</v>
      </c>
      <c r="T47" t="s">
        <v>33</v>
      </c>
      <c r="U47" t="s">
        <v>34</v>
      </c>
      <c r="V47">
        <v>264</v>
      </c>
      <c r="W47">
        <v>0</v>
      </c>
      <c r="X47">
        <v>0.1134020618556701</v>
      </c>
      <c r="Y47">
        <v>0.85567010309278346</v>
      </c>
      <c r="Z47" t="s">
        <v>35</v>
      </c>
    </row>
    <row r="48" spans="1:26" x14ac:dyDescent="0.45">
      <c r="A48" t="s">
        <v>129</v>
      </c>
      <c r="B48" t="s">
        <v>102</v>
      </c>
      <c r="C48" t="s">
        <v>38</v>
      </c>
      <c r="D48" t="s">
        <v>73</v>
      </c>
      <c r="E48" t="s">
        <v>58</v>
      </c>
      <c r="F48" s="1">
        <v>0.4777777777777778</v>
      </c>
      <c r="G48" s="1">
        <v>0.50138888888888888</v>
      </c>
      <c r="H48">
        <v>34</v>
      </c>
      <c r="I48" t="s">
        <v>47</v>
      </c>
      <c r="J48">
        <v>426</v>
      </c>
      <c r="K48">
        <v>350</v>
      </c>
      <c r="L48">
        <v>26</v>
      </c>
      <c r="M48">
        <v>22</v>
      </c>
      <c r="N48">
        <v>128</v>
      </c>
      <c r="O48">
        <v>63</v>
      </c>
      <c r="P48">
        <v>790</v>
      </c>
      <c r="Q48">
        <v>240</v>
      </c>
      <c r="R48" t="s">
        <v>53</v>
      </c>
      <c r="S48">
        <v>6</v>
      </c>
      <c r="T48" t="s">
        <v>54</v>
      </c>
      <c r="U48" t="s">
        <v>41</v>
      </c>
      <c r="V48">
        <v>225</v>
      </c>
      <c r="W48">
        <v>1</v>
      </c>
      <c r="X48">
        <v>6.1032863849765258E-2</v>
      </c>
      <c r="Y48">
        <v>0.82159624413145538</v>
      </c>
      <c r="Z48" t="s">
        <v>35</v>
      </c>
    </row>
    <row r="49" spans="1:26" x14ac:dyDescent="0.45">
      <c r="A49" t="s">
        <v>130</v>
      </c>
      <c r="B49" t="s">
        <v>95</v>
      </c>
      <c r="C49" t="s">
        <v>89</v>
      </c>
      <c r="D49" t="s">
        <v>57</v>
      </c>
      <c r="E49" t="s">
        <v>51</v>
      </c>
      <c r="F49" s="1">
        <v>0.66180555555555554</v>
      </c>
      <c r="G49" s="1">
        <v>0.7319444444444444</v>
      </c>
      <c r="H49">
        <v>101</v>
      </c>
      <c r="I49" t="s">
        <v>78</v>
      </c>
      <c r="J49">
        <v>151</v>
      </c>
      <c r="K49">
        <v>138</v>
      </c>
      <c r="L49">
        <v>9</v>
      </c>
      <c r="M49">
        <v>3</v>
      </c>
      <c r="N49">
        <v>45</v>
      </c>
      <c r="O49">
        <v>59</v>
      </c>
      <c r="P49">
        <v>1028</v>
      </c>
      <c r="Q49">
        <v>240</v>
      </c>
      <c r="R49" t="s">
        <v>53</v>
      </c>
      <c r="S49">
        <v>9</v>
      </c>
      <c r="T49" t="s">
        <v>54</v>
      </c>
      <c r="U49" t="s">
        <v>104</v>
      </c>
      <c r="V49">
        <v>205</v>
      </c>
      <c r="W49">
        <v>1</v>
      </c>
      <c r="X49">
        <v>5.9602649006622516E-2</v>
      </c>
      <c r="Y49">
        <v>0.91390728476821192</v>
      </c>
      <c r="Z49" t="s">
        <v>35</v>
      </c>
    </row>
    <row r="50" spans="1:26" x14ac:dyDescent="0.45">
      <c r="A50" t="s">
        <v>131</v>
      </c>
      <c r="B50" t="s">
        <v>61</v>
      </c>
      <c r="C50" t="s">
        <v>62</v>
      </c>
      <c r="D50" t="s">
        <v>90</v>
      </c>
      <c r="E50" t="s">
        <v>70</v>
      </c>
      <c r="F50" s="1">
        <v>0.62152777777777779</v>
      </c>
      <c r="G50" s="1">
        <v>0.64583333333333337</v>
      </c>
      <c r="H50">
        <v>35</v>
      </c>
      <c r="I50" t="s">
        <v>52</v>
      </c>
      <c r="J50">
        <v>187</v>
      </c>
      <c r="K50">
        <v>179</v>
      </c>
      <c r="L50">
        <v>12</v>
      </c>
      <c r="M50">
        <v>11</v>
      </c>
      <c r="N50">
        <v>1</v>
      </c>
      <c r="O50">
        <v>23</v>
      </c>
      <c r="P50">
        <v>655</v>
      </c>
      <c r="Q50">
        <v>90</v>
      </c>
      <c r="R50" t="s">
        <v>53</v>
      </c>
      <c r="S50">
        <v>0</v>
      </c>
      <c r="T50" t="s">
        <v>59</v>
      </c>
      <c r="U50" t="s">
        <v>48</v>
      </c>
      <c r="V50">
        <v>59</v>
      </c>
      <c r="W50">
        <v>1</v>
      </c>
      <c r="X50">
        <v>6.4171122994652413E-2</v>
      </c>
      <c r="Y50">
        <v>0.95721925133689845</v>
      </c>
      <c r="Z50" t="s">
        <v>35</v>
      </c>
    </row>
    <row r="51" spans="1:26" x14ac:dyDescent="0.45">
      <c r="A51" t="s">
        <v>132</v>
      </c>
      <c r="B51" t="s">
        <v>97</v>
      </c>
      <c r="C51" t="s">
        <v>89</v>
      </c>
      <c r="D51" t="s">
        <v>29</v>
      </c>
      <c r="E51" t="s">
        <v>70</v>
      </c>
      <c r="F51" s="1">
        <v>0.50763888888888886</v>
      </c>
      <c r="G51" s="1">
        <v>0.55277777777777781</v>
      </c>
      <c r="H51">
        <v>65</v>
      </c>
      <c r="I51" t="s">
        <v>31</v>
      </c>
      <c r="J51">
        <v>441</v>
      </c>
      <c r="K51">
        <v>382</v>
      </c>
      <c r="L51">
        <v>49</v>
      </c>
      <c r="M51">
        <v>28</v>
      </c>
      <c r="N51">
        <v>50</v>
      </c>
      <c r="O51">
        <v>35</v>
      </c>
      <c r="P51">
        <v>729</v>
      </c>
      <c r="Q51">
        <v>210</v>
      </c>
      <c r="R51" t="s">
        <v>53</v>
      </c>
      <c r="S51">
        <v>2</v>
      </c>
      <c r="T51" t="s">
        <v>59</v>
      </c>
      <c r="U51" t="s">
        <v>34</v>
      </c>
      <c r="V51">
        <v>150</v>
      </c>
      <c r="W51">
        <v>1</v>
      </c>
      <c r="X51">
        <v>0.1111111111111111</v>
      </c>
      <c r="Y51">
        <v>0.86621315192743764</v>
      </c>
      <c r="Z51" t="s">
        <v>35</v>
      </c>
    </row>
    <row r="52" spans="1:26" x14ac:dyDescent="0.45">
      <c r="A52" t="s">
        <v>133</v>
      </c>
      <c r="B52" t="s">
        <v>72</v>
      </c>
      <c r="C52" t="s">
        <v>28</v>
      </c>
      <c r="D52" t="s">
        <v>63</v>
      </c>
      <c r="E52" t="s">
        <v>30</v>
      </c>
      <c r="F52" s="1">
        <v>0.57222222222222219</v>
      </c>
      <c r="G52" s="1">
        <v>0.66388888888888886</v>
      </c>
      <c r="H52">
        <v>132</v>
      </c>
      <c r="I52" t="s">
        <v>40</v>
      </c>
      <c r="J52">
        <v>98</v>
      </c>
      <c r="K52">
        <v>91</v>
      </c>
      <c r="L52">
        <v>10</v>
      </c>
      <c r="M52">
        <v>5</v>
      </c>
      <c r="N52">
        <v>96</v>
      </c>
      <c r="O52">
        <v>65</v>
      </c>
      <c r="P52">
        <v>3051</v>
      </c>
      <c r="Q52">
        <v>90</v>
      </c>
      <c r="R52" t="s">
        <v>53</v>
      </c>
      <c r="S52">
        <v>7</v>
      </c>
      <c r="T52" t="s">
        <v>33</v>
      </c>
      <c r="U52" t="s">
        <v>41</v>
      </c>
      <c r="V52">
        <v>293</v>
      </c>
      <c r="W52">
        <v>1</v>
      </c>
      <c r="X52">
        <v>0.10204081632653061</v>
      </c>
      <c r="Y52">
        <v>0.9285714285714286</v>
      </c>
      <c r="Z52" t="s">
        <v>35</v>
      </c>
    </row>
    <row r="53" spans="1:26" x14ac:dyDescent="0.45">
      <c r="A53" t="s">
        <v>134</v>
      </c>
      <c r="B53" t="s">
        <v>135</v>
      </c>
      <c r="C53" t="s">
        <v>62</v>
      </c>
      <c r="D53" t="s">
        <v>29</v>
      </c>
      <c r="E53" t="s">
        <v>30</v>
      </c>
      <c r="F53" s="1">
        <v>0.61111111111111116</v>
      </c>
      <c r="G53" s="1">
        <v>0.6479166666666667</v>
      </c>
      <c r="H53">
        <v>53</v>
      </c>
      <c r="I53" t="s">
        <v>78</v>
      </c>
      <c r="J53">
        <v>204</v>
      </c>
      <c r="K53">
        <v>196</v>
      </c>
      <c r="L53">
        <v>17</v>
      </c>
      <c r="M53">
        <v>13</v>
      </c>
      <c r="N53">
        <v>31</v>
      </c>
      <c r="O53">
        <v>39</v>
      </c>
      <c r="P53">
        <v>677</v>
      </c>
      <c r="Q53">
        <v>210</v>
      </c>
      <c r="R53" t="s">
        <v>53</v>
      </c>
      <c r="S53">
        <v>2</v>
      </c>
      <c r="T53" t="s">
        <v>59</v>
      </c>
      <c r="U53" t="s">
        <v>48</v>
      </c>
      <c r="V53">
        <v>123</v>
      </c>
      <c r="W53">
        <v>1</v>
      </c>
      <c r="X53">
        <v>8.3333333333333329E-2</v>
      </c>
      <c r="Y53">
        <v>0.96078431372549022</v>
      </c>
      <c r="Z53" t="s">
        <v>35</v>
      </c>
    </row>
    <row r="54" spans="1:26" x14ac:dyDescent="0.45">
      <c r="A54" t="s">
        <v>136</v>
      </c>
      <c r="B54" t="s">
        <v>72</v>
      </c>
      <c r="C54" t="s">
        <v>28</v>
      </c>
      <c r="D54" t="s">
        <v>29</v>
      </c>
      <c r="E54" t="s">
        <v>46</v>
      </c>
      <c r="F54" s="1">
        <v>0.6479166666666667</v>
      </c>
      <c r="G54" s="1">
        <v>0.70763888888888893</v>
      </c>
      <c r="H54">
        <v>86</v>
      </c>
      <c r="I54" t="s">
        <v>80</v>
      </c>
      <c r="J54">
        <v>305</v>
      </c>
      <c r="K54">
        <v>251</v>
      </c>
      <c r="L54">
        <v>4</v>
      </c>
      <c r="M54">
        <v>1</v>
      </c>
      <c r="N54">
        <v>15</v>
      </c>
      <c r="O54">
        <v>29</v>
      </c>
      <c r="P54">
        <v>1304</v>
      </c>
      <c r="Q54">
        <v>150</v>
      </c>
      <c r="R54" t="s">
        <v>53</v>
      </c>
      <c r="S54">
        <v>4</v>
      </c>
      <c r="T54" t="s">
        <v>54</v>
      </c>
      <c r="U54" t="s">
        <v>64</v>
      </c>
      <c r="V54">
        <v>130</v>
      </c>
      <c r="W54">
        <v>1</v>
      </c>
      <c r="X54">
        <v>1.3114754098360656E-2</v>
      </c>
      <c r="Y54">
        <v>0.82295081967213113</v>
      </c>
      <c r="Z54" t="s">
        <v>35</v>
      </c>
    </row>
    <row r="55" spans="1:26" x14ac:dyDescent="0.45">
      <c r="A55" t="s">
        <v>137</v>
      </c>
      <c r="B55" t="s">
        <v>135</v>
      </c>
      <c r="C55" t="s">
        <v>62</v>
      </c>
      <c r="D55" t="s">
        <v>73</v>
      </c>
      <c r="E55" t="s">
        <v>70</v>
      </c>
      <c r="F55" s="1">
        <v>0.5854166666666667</v>
      </c>
      <c r="G55" s="1">
        <v>0.65694444444444444</v>
      </c>
      <c r="H55">
        <v>103</v>
      </c>
      <c r="I55" t="s">
        <v>40</v>
      </c>
      <c r="J55">
        <v>318</v>
      </c>
      <c r="K55">
        <v>265</v>
      </c>
      <c r="L55">
        <v>17</v>
      </c>
      <c r="M55">
        <v>5</v>
      </c>
      <c r="N55">
        <v>93</v>
      </c>
      <c r="O55">
        <v>68</v>
      </c>
      <c r="P55">
        <v>2584</v>
      </c>
      <c r="Q55">
        <v>180</v>
      </c>
      <c r="R55" t="s">
        <v>32</v>
      </c>
      <c r="S55">
        <v>3</v>
      </c>
      <c r="T55" t="s">
        <v>33</v>
      </c>
      <c r="U55" t="s">
        <v>41</v>
      </c>
      <c r="V55">
        <v>264</v>
      </c>
      <c r="W55">
        <v>0</v>
      </c>
      <c r="X55">
        <v>5.3459119496855348E-2</v>
      </c>
      <c r="Y55">
        <v>0.83333333333333337</v>
      </c>
      <c r="Z55" t="s">
        <v>35</v>
      </c>
    </row>
    <row r="56" spans="1:26" x14ac:dyDescent="0.45">
      <c r="A56" t="s">
        <v>138</v>
      </c>
      <c r="B56" t="s">
        <v>135</v>
      </c>
      <c r="C56" t="s">
        <v>62</v>
      </c>
      <c r="D56" t="s">
        <v>63</v>
      </c>
      <c r="E56" t="s">
        <v>30</v>
      </c>
      <c r="F56" s="1">
        <v>0.56180555555555556</v>
      </c>
      <c r="G56" s="1">
        <v>0.65833333333333333</v>
      </c>
      <c r="H56">
        <v>139</v>
      </c>
      <c r="I56" t="s">
        <v>52</v>
      </c>
      <c r="J56">
        <v>241</v>
      </c>
      <c r="K56">
        <v>210</v>
      </c>
      <c r="L56">
        <v>9</v>
      </c>
      <c r="M56">
        <v>5</v>
      </c>
      <c r="N56">
        <v>103</v>
      </c>
      <c r="O56">
        <v>10</v>
      </c>
      <c r="P56">
        <v>1457</v>
      </c>
      <c r="Q56">
        <v>90</v>
      </c>
      <c r="R56" t="s">
        <v>53</v>
      </c>
      <c r="S56">
        <v>2</v>
      </c>
      <c r="T56" t="s">
        <v>33</v>
      </c>
      <c r="U56" t="s">
        <v>41</v>
      </c>
      <c r="V56">
        <v>252</v>
      </c>
      <c r="W56">
        <v>1</v>
      </c>
      <c r="X56">
        <v>3.7344398340248962E-2</v>
      </c>
      <c r="Y56">
        <v>0.87136929460580914</v>
      </c>
      <c r="Z56" t="s">
        <v>35</v>
      </c>
    </row>
    <row r="57" spans="1:26" x14ac:dyDescent="0.45">
      <c r="A57" t="s">
        <v>139</v>
      </c>
      <c r="B57" t="s">
        <v>75</v>
      </c>
      <c r="C57" t="s">
        <v>69</v>
      </c>
      <c r="D57" t="s">
        <v>73</v>
      </c>
      <c r="E57" t="s">
        <v>93</v>
      </c>
      <c r="F57" s="1">
        <v>0.33541666666666664</v>
      </c>
      <c r="G57" s="1">
        <v>0.35138888888888886</v>
      </c>
      <c r="H57">
        <v>23</v>
      </c>
      <c r="I57" t="s">
        <v>47</v>
      </c>
      <c r="J57">
        <v>420</v>
      </c>
      <c r="K57">
        <v>392</v>
      </c>
      <c r="L57">
        <v>2</v>
      </c>
      <c r="M57">
        <v>1</v>
      </c>
      <c r="N57">
        <v>126</v>
      </c>
      <c r="O57">
        <v>32</v>
      </c>
      <c r="P57">
        <v>837</v>
      </c>
      <c r="Q57">
        <v>150</v>
      </c>
      <c r="R57" t="s">
        <v>32</v>
      </c>
      <c r="S57">
        <v>8</v>
      </c>
      <c r="T57" t="s">
        <v>33</v>
      </c>
      <c r="U57" t="s">
        <v>41</v>
      </c>
      <c r="V57">
        <v>181</v>
      </c>
      <c r="W57">
        <v>0</v>
      </c>
      <c r="X57">
        <v>4.7619047619047623E-3</v>
      </c>
      <c r="Y57">
        <v>0.93333333333333335</v>
      </c>
      <c r="Z57" t="s">
        <v>35</v>
      </c>
    </row>
    <row r="58" spans="1:26" x14ac:dyDescent="0.45">
      <c r="A58" t="s">
        <v>140</v>
      </c>
      <c r="B58" t="s">
        <v>37</v>
      </c>
      <c r="C58" t="s">
        <v>38</v>
      </c>
      <c r="D58" t="s">
        <v>63</v>
      </c>
      <c r="E58" t="s">
        <v>51</v>
      </c>
      <c r="F58" s="1">
        <v>0.60972222222222228</v>
      </c>
      <c r="G58" s="1">
        <v>0.70972222222222225</v>
      </c>
      <c r="H58">
        <v>144</v>
      </c>
      <c r="I58" t="s">
        <v>52</v>
      </c>
      <c r="J58">
        <v>63</v>
      </c>
      <c r="K58">
        <v>56</v>
      </c>
      <c r="L58">
        <v>1</v>
      </c>
      <c r="M58">
        <v>0</v>
      </c>
      <c r="N58">
        <v>17</v>
      </c>
      <c r="O58">
        <v>52</v>
      </c>
      <c r="P58">
        <v>1637</v>
      </c>
      <c r="Q58">
        <v>180</v>
      </c>
      <c r="R58" t="s">
        <v>32</v>
      </c>
      <c r="S58">
        <v>3</v>
      </c>
      <c r="T58" t="s">
        <v>33</v>
      </c>
      <c r="U58" t="s">
        <v>64</v>
      </c>
      <c r="V58">
        <v>213</v>
      </c>
      <c r="W58">
        <v>0</v>
      </c>
      <c r="X58">
        <v>1.5873015873015872E-2</v>
      </c>
      <c r="Y58">
        <v>0.88888888888888884</v>
      </c>
      <c r="Z58" t="s">
        <v>35</v>
      </c>
    </row>
    <row r="59" spans="1:26" x14ac:dyDescent="0.45">
      <c r="A59" t="s">
        <v>141</v>
      </c>
      <c r="B59" t="s">
        <v>72</v>
      </c>
      <c r="C59" t="s">
        <v>28</v>
      </c>
      <c r="D59" t="s">
        <v>39</v>
      </c>
      <c r="E59" t="s">
        <v>51</v>
      </c>
      <c r="F59" s="1">
        <v>0.37430555555555556</v>
      </c>
      <c r="G59" s="1">
        <v>0.40972222222222221</v>
      </c>
      <c r="H59">
        <v>51</v>
      </c>
      <c r="I59" t="s">
        <v>52</v>
      </c>
      <c r="J59">
        <v>399</v>
      </c>
      <c r="K59">
        <v>379</v>
      </c>
      <c r="L59">
        <v>25</v>
      </c>
      <c r="M59">
        <v>12</v>
      </c>
      <c r="N59">
        <v>50</v>
      </c>
      <c r="O59">
        <v>37</v>
      </c>
      <c r="P59">
        <v>883</v>
      </c>
      <c r="Q59">
        <v>240</v>
      </c>
      <c r="R59" t="s">
        <v>53</v>
      </c>
      <c r="S59">
        <v>0</v>
      </c>
      <c r="T59" t="s">
        <v>59</v>
      </c>
      <c r="U59" t="s">
        <v>64</v>
      </c>
      <c r="V59">
        <v>138</v>
      </c>
      <c r="W59">
        <v>1</v>
      </c>
      <c r="X59">
        <v>6.2656641604010022E-2</v>
      </c>
      <c r="Y59">
        <v>0.94987468671679198</v>
      </c>
      <c r="Z59" t="s">
        <v>35</v>
      </c>
    </row>
    <row r="60" spans="1:26" x14ac:dyDescent="0.45">
      <c r="A60" t="s">
        <v>142</v>
      </c>
      <c r="B60" t="s">
        <v>92</v>
      </c>
      <c r="C60" t="s">
        <v>62</v>
      </c>
      <c r="D60" t="s">
        <v>63</v>
      </c>
      <c r="E60" t="s">
        <v>66</v>
      </c>
      <c r="F60" s="1">
        <v>0.64513888888888893</v>
      </c>
      <c r="G60" s="1">
        <v>0.73124999999999996</v>
      </c>
      <c r="H60">
        <v>124</v>
      </c>
      <c r="I60" t="s">
        <v>40</v>
      </c>
      <c r="J60">
        <v>228</v>
      </c>
      <c r="K60">
        <v>208</v>
      </c>
      <c r="L60">
        <v>24</v>
      </c>
      <c r="M60">
        <v>12</v>
      </c>
      <c r="N60">
        <v>42</v>
      </c>
      <c r="O60">
        <v>35</v>
      </c>
      <c r="P60">
        <v>2647</v>
      </c>
      <c r="Q60">
        <v>150</v>
      </c>
      <c r="R60" t="s">
        <v>32</v>
      </c>
      <c r="S60">
        <v>9</v>
      </c>
      <c r="T60" t="s">
        <v>33</v>
      </c>
      <c r="U60" t="s">
        <v>81</v>
      </c>
      <c r="V60">
        <v>201</v>
      </c>
      <c r="W60">
        <v>0</v>
      </c>
      <c r="X60">
        <v>0.10526315789473684</v>
      </c>
      <c r="Y60">
        <v>0.91228070175438591</v>
      </c>
      <c r="Z60" t="s">
        <v>35</v>
      </c>
    </row>
    <row r="61" spans="1:26" x14ac:dyDescent="0.45">
      <c r="A61" t="s">
        <v>143</v>
      </c>
      <c r="B61" t="s">
        <v>88</v>
      </c>
      <c r="C61" t="s">
        <v>89</v>
      </c>
      <c r="D61" t="s">
        <v>29</v>
      </c>
      <c r="E61" t="s">
        <v>93</v>
      </c>
      <c r="F61" s="1">
        <v>0.35208333333333336</v>
      </c>
      <c r="G61" s="1">
        <v>0.43125000000000002</v>
      </c>
      <c r="H61">
        <v>114</v>
      </c>
      <c r="I61" t="s">
        <v>47</v>
      </c>
      <c r="J61">
        <v>250</v>
      </c>
      <c r="K61">
        <v>210</v>
      </c>
      <c r="L61">
        <v>2</v>
      </c>
      <c r="M61">
        <v>0</v>
      </c>
      <c r="N61">
        <v>94</v>
      </c>
      <c r="O61">
        <v>80</v>
      </c>
      <c r="P61">
        <v>1390</v>
      </c>
      <c r="Q61">
        <v>150</v>
      </c>
      <c r="R61" t="s">
        <v>32</v>
      </c>
      <c r="S61">
        <v>4</v>
      </c>
      <c r="T61" t="s">
        <v>33</v>
      </c>
      <c r="U61" t="s">
        <v>41</v>
      </c>
      <c r="V61">
        <v>288</v>
      </c>
      <c r="W61">
        <v>0</v>
      </c>
      <c r="X61">
        <v>8.0000000000000002E-3</v>
      </c>
      <c r="Y61">
        <v>0.84</v>
      </c>
      <c r="Z61" t="s">
        <v>35</v>
      </c>
    </row>
    <row r="62" spans="1:26" x14ac:dyDescent="0.45">
      <c r="A62" t="s">
        <v>144</v>
      </c>
      <c r="B62" t="s">
        <v>95</v>
      </c>
      <c r="C62" t="s">
        <v>89</v>
      </c>
      <c r="D62" t="s">
        <v>39</v>
      </c>
      <c r="E62" t="s">
        <v>70</v>
      </c>
      <c r="F62" s="1">
        <v>0.40486111111111112</v>
      </c>
      <c r="G62" s="1">
        <v>0.47083333333333333</v>
      </c>
      <c r="H62">
        <v>95</v>
      </c>
      <c r="I62" t="s">
        <v>31</v>
      </c>
      <c r="J62">
        <v>148</v>
      </c>
      <c r="K62">
        <v>123</v>
      </c>
      <c r="L62">
        <v>16</v>
      </c>
      <c r="M62">
        <v>13</v>
      </c>
      <c r="N62">
        <v>56</v>
      </c>
      <c r="O62">
        <v>65</v>
      </c>
      <c r="P62">
        <v>945</v>
      </c>
      <c r="Q62">
        <v>90</v>
      </c>
      <c r="R62" t="s">
        <v>32</v>
      </c>
      <c r="S62">
        <v>9</v>
      </c>
      <c r="T62" t="s">
        <v>33</v>
      </c>
      <c r="U62" t="s">
        <v>48</v>
      </c>
      <c r="V62">
        <v>216</v>
      </c>
      <c r="W62">
        <v>0</v>
      </c>
      <c r="X62">
        <v>0.10810810810810811</v>
      </c>
      <c r="Y62">
        <v>0.83108108108108103</v>
      </c>
      <c r="Z62" t="s">
        <v>35</v>
      </c>
    </row>
    <row r="63" spans="1:26" x14ac:dyDescent="0.45">
      <c r="A63" t="s">
        <v>145</v>
      </c>
      <c r="B63" t="s">
        <v>97</v>
      </c>
      <c r="C63" t="s">
        <v>89</v>
      </c>
      <c r="D63" t="s">
        <v>63</v>
      </c>
      <c r="E63" t="s">
        <v>93</v>
      </c>
      <c r="F63" s="1">
        <v>0.35</v>
      </c>
      <c r="G63" s="1">
        <v>0.37847222222222221</v>
      </c>
      <c r="H63">
        <v>41</v>
      </c>
      <c r="I63" t="s">
        <v>47</v>
      </c>
      <c r="J63">
        <v>226</v>
      </c>
      <c r="K63">
        <v>224</v>
      </c>
      <c r="L63">
        <v>13</v>
      </c>
      <c r="M63">
        <v>6</v>
      </c>
      <c r="N63">
        <v>31</v>
      </c>
      <c r="O63">
        <v>12</v>
      </c>
      <c r="P63">
        <v>467</v>
      </c>
      <c r="Q63">
        <v>150</v>
      </c>
      <c r="R63" t="s">
        <v>53</v>
      </c>
      <c r="S63">
        <v>0</v>
      </c>
      <c r="T63" t="s">
        <v>59</v>
      </c>
      <c r="U63" t="s">
        <v>64</v>
      </c>
      <c r="V63">
        <v>84</v>
      </c>
      <c r="W63">
        <v>1</v>
      </c>
      <c r="X63">
        <v>5.7522123893805309E-2</v>
      </c>
      <c r="Y63">
        <v>0.99115044247787609</v>
      </c>
      <c r="Z63" t="s">
        <v>35</v>
      </c>
    </row>
    <row r="64" spans="1:26" x14ac:dyDescent="0.45">
      <c r="A64" t="s">
        <v>146</v>
      </c>
      <c r="B64" t="s">
        <v>114</v>
      </c>
      <c r="C64" t="s">
        <v>69</v>
      </c>
      <c r="D64" t="s">
        <v>45</v>
      </c>
      <c r="E64" t="s">
        <v>58</v>
      </c>
      <c r="F64" s="1">
        <v>0.57708333333333328</v>
      </c>
      <c r="G64" s="1">
        <v>0.58402777777777781</v>
      </c>
      <c r="H64">
        <v>10</v>
      </c>
      <c r="I64" t="s">
        <v>40</v>
      </c>
      <c r="J64">
        <v>517</v>
      </c>
      <c r="K64">
        <v>436</v>
      </c>
      <c r="L64">
        <v>6</v>
      </c>
      <c r="M64">
        <v>3</v>
      </c>
      <c r="N64">
        <v>4</v>
      </c>
      <c r="O64">
        <v>36</v>
      </c>
      <c r="P64">
        <v>526</v>
      </c>
      <c r="Q64">
        <v>240</v>
      </c>
      <c r="R64" t="s">
        <v>53</v>
      </c>
      <c r="S64">
        <v>2</v>
      </c>
      <c r="T64" t="s">
        <v>59</v>
      </c>
      <c r="U64" t="s">
        <v>64</v>
      </c>
      <c r="V64">
        <v>50</v>
      </c>
      <c r="W64">
        <v>1</v>
      </c>
      <c r="X64">
        <v>1.160541586073501E-2</v>
      </c>
      <c r="Y64">
        <v>0.84332688588007731</v>
      </c>
      <c r="Z64" t="s">
        <v>35</v>
      </c>
    </row>
    <row r="65" spans="1:26" x14ac:dyDescent="0.45">
      <c r="A65" t="s">
        <v>147</v>
      </c>
      <c r="B65" t="s">
        <v>72</v>
      </c>
      <c r="C65" t="s">
        <v>28</v>
      </c>
      <c r="D65" t="s">
        <v>29</v>
      </c>
      <c r="E65" t="s">
        <v>46</v>
      </c>
      <c r="F65" s="1">
        <v>0.65902777777777777</v>
      </c>
      <c r="G65" s="1">
        <v>0.74513888888888891</v>
      </c>
      <c r="H65">
        <v>124</v>
      </c>
      <c r="I65" t="s">
        <v>47</v>
      </c>
      <c r="J65">
        <v>398</v>
      </c>
      <c r="K65">
        <v>341</v>
      </c>
      <c r="L65">
        <v>35</v>
      </c>
      <c r="M65">
        <v>12</v>
      </c>
      <c r="N65">
        <v>44</v>
      </c>
      <c r="O65">
        <v>57</v>
      </c>
      <c r="P65">
        <v>1237</v>
      </c>
      <c r="Q65">
        <v>90</v>
      </c>
      <c r="R65" t="s">
        <v>32</v>
      </c>
      <c r="S65">
        <v>6</v>
      </c>
      <c r="T65" t="s">
        <v>33</v>
      </c>
      <c r="U65" t="s">
        <v>104</v>
      </c>
      <c r="V65">
        <v>225</v>
      </c>
      <c r="W65">
        <v>0</v>
      </c>
      <c r="X65">
        <v>8.7939698492462318E-2</v>
      </c>
      <c r="Y65">
        <v>0.85678391959798994</v>
      </c>
      <c r="Z65" t="s">
        <v>35</v>
      </c>
    </row>
    <row r="66" spans="1:26" x14ac:dyDescent="0.45">
      <c r="A66" t="s">
        <v>148</v>
      </c>
      <c r="B66" t="s">
        <v>37</v>
      </c>
      <c r="C66" t="s">
        <v>38</v>
      </c>
      <c r="D66" t="s">
        <v>50</v>
      </c>
      <c r="E66" t="s">
        <v>46</v>
      </c>
      <c r="F66" s="1">
        <v>0.57916666666666672</v>
      </c>
      <c r="G66" s="1">
        <v>0.60277777777777775</v>
      </c>
      <c r="H66">
        <v>34</v>
      </c>
      <c r="I66" t="s">
        <v>52</v>
      </c>
      <c r="J66">
        <v>414</v>
      </c>
      <c r="K66">
        <v>409</v>
      </c>
      <c r="L66">
        <v>1</v>
      </c>
      <c r="M66">
        <v>0</v>
      </c>
      <c r="N66">
        <v>34</v>
      </c>
      <c r="O66">
        <v>52</v>
      </c>
      <c r="P66">
        <v>885</v>
      </c>
      <c r="Q66">
        <v>180</v>
      </c>
      <c r="R66" t="s">
        <v>53</v>
      </c>
      <c r="S66">
        <v>0</v>
      </c>
      <c r="T66" t="s">
        <v>59</v>
      </c>
      <c r="U66" t="s">
        <v>64</v>
      </c>
      <c r="V66">
        <v>120</v>
      </c>
      <c r="W66">
        <v>1</v>
      </c>
      <c r="X66">
        <v>2.4154589371980675E-3</v>
      </c>
      <c r="Y66">
        <v>0.98792270531400961</v>
      </c>
      <c r="Z66" t="s">
        <v>35</v>
      </c>
    </row>
    <row r="67" spans="1:26" x14ac:dyDescent="0.45">
      <c r="A67" t="s">
        <v>149</v>
      </c>
      <c r="B67" t="s">
        <v>68</v>
      </c>
      <c r="C67" t="s">
        <v>69</v>
      </c>
      <c r="D67" t="s">
        <v>73</v>
      </c>
      <c r="E67" t="s">
        <v>76</v>
      </c>
      <c r="F67" s="1">
        <v>0.5493055555555556</v>
      </c>
      <c r="G67" s="1">
        <v>0.62847222222222221</v>
      </c>
      <c r="H67">
        <v>114</v>
      </c>
      <c r="I67" t="s">
        <v>47</v>
      </c>
      <c r="J67">
        <v>425</v>
      </c>
      <c r="K67">
        <v>413</v>
      </c>
      <c r="L67">
        <v>5</v>
      </c>
      <c r="M67">
        <v>3</v>
      </c>
      <c r="N67">
        <v>87</v>
      </c>
      <c r="O67">
        <v>53</v>
      </c>
      <c r="P67">
        <v>1159</v>
      </c>
      <c r="Q67">
        <v>90</v>
      </c>
      <c r="R67" t="s">
        <v>32</v>
      </c>
      <c r="S67">
        <v>1</v>
      </c>
      <c r="T67" t="s">
        <v>33</v>
      </c>
      <c r="U67" t="s">
        <v>41</v>
      </c>
      <c r="V67">
        <v>254</v>
      </c>
      <c r="W67">
        <v>0</v>
      </c>
      <c r="X67">
        <v>1.1764705882352941E-2</v>
      </c>
      <c r="Y67">
        <v>0.97176470588235297</v>
      </c>
      <c r="Z67" t="s">
        <v>35</v>
      </c>
    </row>
    <row r="68" spans="1:26" x14ac:dyDescent="0.45">
      <c r="A68" t="s">
        <v>150</v>
      </c>
      <c r="B68" t="s">
        <v>72</v>
      </c>
      <c r="C68" t="s">
        <v>28</v>
      </c>
      <c r="D68" t="s">
        <v>63</v>
      </c>
      <c r="E68" t="s">
        <v>51</v>
      </c>
      <c r="F68" s="1">
        <v>0.52500000000000002</v>
      </c>
      <c r="G68" s="1">
        <v>0.53194444444444444</v>
      </c>
      <c r="H68">
        <v>10</v>
      </c>
      <c r="I68" t="s">
        <v>40</v>
      </c>
      <c r="J68">
        <v>364</v>
      </c>
      <c r="K68">
        <v>333</v>
      </c>
      <c r="L68">
        <v>12</v>
      </c>
      <c r="M68">
        <v>6</v>
      </c>
      <c r="N68">
        <v>27</v>
      </c>
      <c r="O68">
        <v>79</v>
      </c>
      <c r="P68">
        <v>638</v>
      </c>
      <c r="Q68">
        <v>240</v>
      </c>
      <c r="R68" t="s">
        <v>53</v>
      </c>
      <c r="S68">
        <v>1</v>
      </c>
      <c r="T68" t="s">
        <v>59</v>
      </c>
      <c r="U68" t="s">
        <v>104</v>
      </c>
      <c r="V68">
        <v>116</v>
      </c>
      <c r="W68">
        <v>1</v>
      </c>
      <c r="X68">
        <v>3.2967032967032968E-2</v>
      </c>
      <c r="Y68">
        <v>0.9148351648351648</v>
      </c>
      <c r="Z68" t="s">
        <v>35</v>
      </c>
    </row>
    <row r="69" spans="1:26" x14ac:dyDescent="0.45">
      <c r="A69" t="s">
        <v>151</v>
      </c>
      <c r="B69" t="s">
        <v>92</v>
      </c>
      <c r="C69" t="s">
        <v>62</v>
      </c>
      <c r="D69" t="s">
        <v>50</v>
      </c>
      <c r="E69" t="s">
        <v>30</v>
      </c>
      <c r="F69" s="1">
        <v>0.40277777777777779</v>
      </c>
      <c r="G69" s="1">
        <v>0.43263888888888891</v>
      </c>
      <c r="H69">
        <v>43</v>
      </c>
      <c r="I69" t="s">
        <v>47</v>
      </c>
      <c r="J69">
        <v>85</v>
      </c>
      <c r="K69">
        <v>71</v>
      </c>
      <c r="L69">
        <v>0</v>
      </c>
      <c r="M69">
        <v>0</v>
      </c>
      <c r="N69">
        <v>28</v>
      </c>
      <c r="O69">
        <v>32</v>
      </c>
      <c r="P69">
        <v>574</v>
      </c>
      <c r="Q69">
        <v>240</v>
      </c>
      <c r="R69" t="s">
        <v>53</v>
      </c>
      <c r="S69">
        <v>0</v>
      </c>
      <c r="T69" t="s">
        <v>59</v>
      </c>
      <c r="U69" t="s">
        <v>64</v>
      </c>
      <c r="V69">
        <v>103</v>
      </c>
      <c r="W69">
        <v>1</v>
      </c>
      <c r="X69">
        <v>0</v>
      </c>
      <c r="Y69">
        <v>0.83529411764705885</v>
      </c>
      <c r="Z69" t="s">
        <v>35</v>
      </c>
    </row>
    <row r="70" spans="1:26" x14ac:dyDescent="0.45">
      <c r="A70" t="s">
        <v>152</v>
      </c>
      <c r="B70" t="s">
        <v>135</v>
      </c>
      <c r="C70" t="s">
        <v>62</v>
      </c>
      <c r="D70" t="s">
        <v>29</v>
      </c>
      <c r="E70" t="s">
        <v>30</v>
      </c>
      <c r="F70" s="1">
        <v>0.57847222222222228</v>
      </c>
      <c r="G70" s="1">
        <v>0.65416666666666667</v>
      </c>
      <c r="H70">
        <v>109</v>
      </c>
      <c r="I70" t="s">
        <v>80</v>
      </c>
      <c r="J70">
        <v>412</v>
      </c>
      <c r="K70">
        <v>347</v>
      </c>
      <c r="L70">
        <v>14</v>
      </c>
      <c r="M70">
        <v>10</v>
      </c>
      <c r="N70">
        <v>123</v>
      </c>
      <c r="O70">
        <v>7</v>
      </c>
      <c r="P70">
        <v>1740</v>
      </c>
      <c r="Q70">
        <v>90</v>
      </c>
      <c r="R70" t="s">
        <v>32</v>
      </c>
      <c r="S70">
        <v>3</v>
      </c>
      <c r="T70" t="s">
        <v>33</v>
      </c>
      <c r="U70" t="s">
        <v>41</v>
      </c>
      <c r="V70">
        <v>239</v>
      </c>
      <c r="W70">
        <v>0</v>
      </c>
      <c r="X70">
        <v>3.3980582524271843E-2</v>
      </c>
      <c r="Y70">
        <v>0.84223300970873782</v>
      </c>
      <c r="Z70" t="s">
        <v>35</v>
      </c>
    </row>
    <row r="71" spans="1:26" x14ac:dyDescent="0.45">
      <c r="A71" t="s">
        <v>153</v>
      </c>
      <c r="B71" t="s">
        <v>68</v>
      </c>
      <c r="C71" t="s">
        <v>69</v>
      </c>
      <c r="D71" t="s">
        <v>50</v>
      </c>
      <c r="E71" t="s">
        <v>30</v>
      </c>
      <c r="F71" s="1">
        <v>0.5493055555555556</v>
      </c>
      <c r="G71" s="1">
        <v>0.65</v>
      </c>
      <c r="H71">
        <v>145</v>
      </c>
      <c r="I71" t="s">
        <v>80</v>
      </c>
      <c r="J71">
        <v>155</v>
      </c>
      <c r="K71">
        <v>144</v>
      </c>
      <c r="L71">
        <v>15</v>
      </c>
      <c r="M71">
        <v>6</v>
      </c>
      <c r="N71">
        <v>28</v>
      </c>
      <c r="O71">
        <v>40</v>
      </c>
      <c r="P71">
        <v>1988</v>
      </c>
      <c r="Q71">
        <v>210</v>
      </c>
      <c r="R71" t="s">
        <v>32</v>
      </c>
      <c r="S71">
        <v>1</v>
      </c>
      <c r="T71" t="s">
        <v>33</v>
      </c>
      <c r="U71" t="s">
        <v>81</v>
      </c>
      <c r="V71">
        <v>213</v>
      </c>
      <c r="W71">
        <v>0</v>
      </c>
      <c r="X71">
        <v>9.6774193548387094E-2</v>
      </c>
      <c r="Y71">
        <v>0.92903225806451617</v>
      </c>
      <c r="Z71" t="s">
        <v>35</v>
      </c>
    </row>
    <row r="72" spans="1:26" x14ac:dyDescent="0.45">
      <c r="A72" t="s">
        <v>154</v>
      </c>
      <c r="B72" t="s">
        <v>88</v>
      </c>
      <c r="C72" t="s">
        <v>89</v>
      </c>
      <c r="D72" t="s">
        <v>39</v>
      </c>
      <c r="E72" t="s">
        <v>46</v>
      </c>
      <c r="F72" s="1">
        <v>0.33958333333333335</v>
      </c>
      <c r="G72" s="1">
        <v>0.40208333333333335</v>
      </c>
      <c r="H72">
        <v>90</v>
      </c>
      <c r="I72" t="s">
        <v>80</v>
      </c>
      <c r="J72">
        <v>488</v>
      </c>
      <c r="K72">
        <v>450</v>
      </c>
      <c r="L72">
        <v>40</v>
      </c>
      <c r="M72">
        <v>25</v>
      </c>
      <c r="N72">
        <v>35</v>
      </c>
      <c r="O72">
        <v>15</v>
      </c>
      <c r="P72">
        <v>1318</v>
      </c>
      <c r="Q72">
        <v>180</v>
      </c>
      <c r="R72" t="s">
        <v>53</v>
      </c>
      <c r="S72">
        <v>1</v>
      </c>
      <c r="T72" t="s">
        <v>59</v>
      </c>
      <c r="U72" t="s">
        <v>34</v>
      </c>
      <c r="V72">
        <v>140</v>
      </c>
      <c r="W72">
        <v>1</v>
      </c>
      <c r="X72">
        <v>8.1967213114754092E-2</v>
      </c>
      <c r="Y72">
        <v>0.92213114754098358</v>
      </c>
      <c r="Z72" t="s">
        <v>35</v>
      </c>
    </row>
    <row r="73" spans="1:26" x14ac:dyDescent="0.45">
      <c r="A73" t="s">
        <v>155</v>
      </c>
      <c r="B73" t="s">
        <v>72</v>
      </c>
      <c r="C73" t="s">
        <v>28</v>
      </c>
      <c r="D73" t="s">
        <v>63</v>
      </c>
      <c r="E73" t="s">
        <v>70</v>
      </c>
      <c r="F73" s="1">
        <v>0.6479166666666667</v>
      </c>
      <c r="G73" s="1">
        <v>0.65347222222222223</v>
      </c>
      <c r="H73">
        <v>8</v>
      </c>
      <c r="I73" t="s">
        <v>40</v>
      </c>
      <c r="J73">
        <v>286</v>
      </c>
      <c r="K73">
        <v>279</v>
      </c>
      <c r="L73">
        <v>29</v>
      </c>
      <c r="M73">
        <v>27</v>
      </c>
      <c r="N73">
        <v>18</v>
      </c>
      <c r="O73">
        <v>2</v>
      </c>
      <c r="P73">
        <v>261</v>
      </c>
      <c r="Q73">
        <v>150</v>
      </c>
      <c r="R73" t="s">
        <v>53</v>
      </c>
      <c r="S73">
        <v>1</v>
      </c>
      <c r="T73" t="s">
        <v>59</v>
      </c>
      <c r="U73" t="s">
        <v>48</v>
      </c>
      <c r="V73">
        <v>28</v>
      </c>
      <c r="W73">
        <v>1</v>
      </c>
      <c r="X73">
        <v>0.10139860139860139</v>
      </c>
      <c r="Y73">
        <v>0.97552447552447552</v>
      </c>
      <c r="Z73" t="s">
        <v>35</v>
      </c>
    </row>
    <row r="74" spans="1:26" x14ac:dyDescent="0.45">
      <c r="A74" t="s">
        <v>156</v>
      </c>
      <c r="B74" t="s">
        <v>124</v>
      </c>
      <c r="C74" t="s">
        <v>38</v>
      </c>
      <c r="D74" t="s">
        <v>90</v>
      </c>
      <c r="E74" t="s">
        <v>58</v>
      </c>
      <c r="F74" s="1">
        <v>0.54166666666666663</v>
      </c>
      <c r="G74" s="1">
        <v>0.6166666666666667</v>
      </c>
      <c r="H74">
        <v>108</v>
      </c>
      <c r="I74" t="s">
        <v>78</v>
      </c>
      <c r="J74">
        <v>136</v>
      </c>
      <c r="K74">
        <v>122</v>
      </c>
      <c r="L74">
        <v>15</v>
      </c>
      <c r="M74">
        <v>12</v>
      </c>
      <c r="N74">
        <v>11</v>
      </c>
      <c r="O74">
        <v>32</v>
      </c>
      <c r="P74">
        <v>1094</v>
      </c>
      <c r="Q74">
        <v>120</v>
      </c>
      <c r="R74" t="s">
        <v>32</v>
      </c>
      <c r="S74">
        <v>4</v>
      </c>
      <c r="T74" t="s">
        <v>33</v>
      </c>
      <c r="U74" t="s">
        <v>48</v>
      </c>
      <c r="V74">
        <v>151</v>
      </c>
      <c r="W74">
        <v>0</v>
      </c>
      <c r="X74">
        <v>0.11029411764705882</v>
      </c>
      <c r="Y74">
        <v>0.8970588235294118</v>
      </c>
      <c r="Z74" t="s">
        <v>35</v>
      </c>
    </row>
    <row r="75" spans="1:26" x14ac:dyDescent="0.45">
      <c r="A75" t="s">
        <v>157</v>
      </c>
      <c r="B75" t="s">
        <v>114</v>
      </c>
      <c r="C75" t="s">
        <v>69</v>
      </c>
      <c r="D75" t="s">
        <v>50</v>
      </c>
      <c r="E75" t="s">
        <v>70</v>
      </c>
      <c r="F75" s="1">
        <v>0.62013888888888891</v>
      </c>
      <c r="G75" s="1">
        <v>0.63680555555555551</v>
      </c>
      <c r="H75">
        <v>24</v>
      </c>
      <c r="I75" t="s">
        <v>40</v>
      </c>
      <c r="J75">
        <v>67</v>
      </c>
      <c r="K75">
        <v>65</v>
      </c>
      <c r="L75">
        <v>2</v>
      </c>
      <c r="M75">
        <v>1</v>
      </c>
      <c r="N75">
        <v>86</v>
      </c>
      <c r="O75">
        <v>51</v>
      </c>
      <c r="P75">
        <v>832</v>
      </c>
      <c r="Q75">
        <v>180</v>
      </c>
      <c r="R75" t="s">
        <v>53</v>
      </c>
      <c r="S75">
        <v>7</v>
      </c>
      <c r="T75" t="s">
        <v>54</v>
      </c>
      <c r="U75" t="s">
        <v>41</v>
      </c>
      <c r="V75">
        <v>161</v>
      </c>
      <c r="W75">
        <v>1</v>
      </c>
      <c r="X75">
        <v>2.9850746268656716E-2</v>
      </c>
      <c r="Y75">
        <v>0.97014925373134331</v>
      </c>
      <c r="Z75" t="s">
        <v>35</v>
      </c>
    </row>
    <row r="76" spans="1:26" x14ac:dyDescent="0.45">
      <c r="A76" t="s">
        <v>158</v>
      </c>
      <c r="B76" t="s">
        <v>88</v>
      </c>
      <c r="C76" t="s">
        <v>89</v>
      </c>
      <c r="D76" t="s">
        <v>29</v>
      </c>
      <c r="E76" t="s">
        <v>70</v>
      </c>
      <c r="F76" s="1">
        <v>0.375</v>
      </c>
      <c r="G76" s="1">
        <v>0.47083333333333333</v>
      </c>
      <c r="H76">
        <v>138</v>
      </c>
      <c r="I76" t="s">
        <v>52</v>
      </c>
      <c r="J76">
        <v>396</v>
      </c>
      <c r="K76">
        <v>354</v>
      </c>
      <c r="L76">
        <v>6</v>
      </c>
      <c r="M76">
        <v>1</v>
      </c>
      <c r="N76">
        <v>24</v>
      </c>
      <c r="O76">
        <v>28</v>
      </c>
      <c r="P76">
        <v>1511</v>
      </c>
      <c r="Q76">
        <v>150</v>
      </c>
      <c r="R76" t="s">
        <v>32</v>
      </c>
      <c r="S76">
        <v>9</v>
      </c>
      <c r="T76" t="s">
        <v>33</v>
      </c>
      <c r="U76" t="s">
        <v>64</v>
      </c>
      <c r="V76">
        <v>190</v>
      </c>
      <c r="W76">
        <v>0</v>
      </c>
      <c r="X76">
        <v>1.5151515151515152E-2</v>
      </c>
      <c r="Y76">
        <v>0.89393939393939392</v>
      </c>
      <c r="Z76" t="s">
        <v>35</v>
      </c>
    </row>
    <row r="77" spans="1:26" x14ac:dyDescent="0.45">
      <c r="A77" t="s">
        <v>159</v>
      </c>
      <c r="B77" t="s">
        <v>43</v>
      </c>
      <c r="C77" t="s">
        <v>44</v>
      </c>
      <c r="D77" t="s">
        <v>73</v>
      </c>
      <c r="E77" t="s">
        <v>30</v>
      </c>
      <c r="F77" s="1">
        <v>0.61597222222222225</v>
      </c>
      <c r="G77" s="1">
        <v>0.70972222222222225</v>
      </c>
      <c r="H77">
        <v>135</v>
      </c>
      <c r="I77" t="s">
        <v>80</v>
      </c>
      <c r="J77">
        <v>470</v>
      </c>
      <c r="K77">
        <v>439</v>
      </c>
      <c r="L77">
        <v>32</v>
      </c>
      <c r="M77">
        <v>24</v>
      </c>
      <c r="N77">
        <v>102</v>
      </c>
      <c r="O77">
        <v>61</v>
      </c>
      <c r="P77">
        <v>1941</v>
      </c>
      <c r="Q77">
        <v>180</v>
      </c>
      <c r="R77" t="s">
        <v>32</v>
      </c>
      <c r="S77">
        <v>3</v>
      </c>
      <c r="T77" t="s">
        <v>33</v>
      </c>
      <c r="U77" t="s">
        <v>41</v>
      </c>
      <c r="V77">
        <v>298</v>
      </c>
      <c r="W77">
        <v>0</v>
      </c>
      <c r="X77">
        <v>6.8085106382978725E-2</v>
      </c>
      <c r="Y77">
        <v>0.93404255319148932</v>
      </c>
      <c r="Z77" t="s">
        <v>35</v>
      </c>
    </row>
    <row r="78" spans="1:26" x14ac:dyDescent="0.45">
      <c r="A78" t="s">
        <v>160</v>
      </c>
      <c r="B78" t="s">
        <v>88</v>
      </c>
      <c r="C78" t="s">
        <v>89</v>
      </c>
      <c r="D78" t="s">
        <v>90</v>
      </c>
      <c r="E78" t="s">
        <v>46</v>
      </c>
      <c r="F78" s="1">
        <v>0.36041666666666666</v>
      </c>
      <c r="G78" s="1">
        <v>0.37847222222222221</v>
      </c>
      <c r="H78">
        <v>26</v>
      </c>
      <c r="I78" t="s">
        <v>80</v>
      </c>
      <c r="J78">
        <v>261</v>
      </c>
      <c r="K78">
        <v>251</v>
      </c>
      <c r="L78">
        <v>0</v>
      </c>
      <c r="M78">
        <v>0</v>
      </c>
      <c r="N78">
        <v>103</v>
      </c>
      <c r="O78">
        <v>6</v>
      </c>
      <c r="P78">
        <v>605</v>
      </c>
      <c r="Q78">
        <v>240</v>
      </c>
      <c r="R78" t="s">
        <v>53</v>
      </c>
      <c r="S78">
        <v>0</v>
      </c>
      <c r="T78" t="s">
        <v>59</v>
      </c>
      <c r="U78" t="s">
        <v>41</v>
      </c>
      <c r="V78">
        <v>135</v>
      </c>
      <c r="W78">
        <v>1</v>
      </c>
      <c r="X78">
        <v>0</v>
      </c>
      <c r="Y78">
        <v>0.96168582375478928</v>
      </c>
      <c r="Z78" t="s">
        <v>35</v>
      </c>
    </row>
    <row r="79" spans="1:26" x14ac:dyDescent="0.45">
      <c r="A79" t="s">
        <v>161</v>
      </c>
      <c r="B79" t="s">
        <v>75</v>
      </c>
      <c r="C79" t="s">
        <v>69</v>
      </c>
      <c r="D79" t="s">
        <v>90</v>
      </c>
      <c r="E79" t="s">
        <v>93</v>
      </c>
      <c r="F79" s="1">
        <v>0.58888888888888891</v>
      </c>
      <c r="G79" s="1">
        <v>0.68194444444444446</v>
      </c>
      <c r="H79">
        <v>134</v>
      </c>
      <c r="I79" t="s">
        <v>47</v>
      </c>
      <c r="J79">
        <v>456</v>
      </c>
      <c r="K79">
        <v>385</v>
      </c>
      <c r="L79">
        <v>3</v>
      </c>
      <c r="M79">
        <v>0</v>
      </c>
      <c r="N79">
        <v>113</v>
      </c>
      <c r="O79">
        <v>64</v>
      </c>
      <c r="P79">
        <v>1538</v>
      </c>
      <c r="Q79">
        <v>180</v>
      </c>
      <c r="R79" t="s">
        <v>32</v>
      </c>
      <c r="S79">
        <v>6</v>
      </c>
      <c r="T79" t="s">
        <v>33</v>
      </c>
      <c r="U79" t="s">
        <v>41</v>
      </c>
      <c r="V79">
        <v>311</v>
      </c>
      <c r="W79">
        <v>0</v>
      </c>
      <c r="X79">
        <v>6.5789473684210523E-3</v>
      </c>
      <c r="Y79">
        <v>0.8442982456140351</v>
      </c>
      <c r="Z79" t="s">
        <v>35</v>
      </c>
    </row>
    <row r="80" spans="1:26" x14ac:dyDescent="0.45">
      <c r="A80" t="s">
        <v>162</v>
      </c>
      <c r="B80" t="s">
        <v>37</v>
      </c>
      <c r="C80" t="s">
        <v>38</v>
      </c>
      <c r="D80" t="s">
        <v>29</v>
      </c>
      <c r="E80" t="s">
        <v>76</v>
      </c>
      <c r="F80" s="1">
        <v>0.59583333333333333</v>
      </c>
      <c r="G80" s="1">
        <v>0.66319444444444442</v>
      </c>
      <c r="H80">
        <v>97</v>
      </c>
      <c r="I80" t="s">
        <v>80</v>
      </c>
      <c r="J80">
        <v>125</v>
      </c>
      <c r="K80">
        <v>120</v>
      </c>
      <c r="L80">
        <v>10</v>
      </c>
      <c r="M80">
        <v>5</v>
      </c>
      <c r="N80">
        <v>12</v>
      </c>
      <c r="O80">
        <v>76</v>
      </c>
      <c r="P80">
        <v>1598</v>
      </c>
      <c r="Q80">
        <v>240</v>
      </c>
      <c r="R80" t="s">
        <v>53</v>
      </c>
      <c r="S80">
        <v>2</v>
      </c>
      <c r="T80" t="s">
        <v>59</v>
      </c>
      <c r="U80" t="s">
        <v>104</v>
      </c>
      <c r="V80">
        <v>185</v>
      </c>
      <c r="W80">
        <v>1</v>
      </c>
      <c r="X80">
        <v>0.08</v>
      </c>
      <c r="Y80">
        <v>0.96</v>
      </c>
      <c r="Z80" t="s">
        <v>35</v>
      </c>
    </row>
    <row r="81" spans="1:26" x14ac:dyDescent="0.45">
      <c r="A81" t="s">
        <v>163</v>
      </c>
      <c r="B81" t="s">
        <v>27</v>
      </c>
      <c r="C81" t="s">
        <v>28</v>
      </c>
      <c r="D81" t="s">
        <v>29</v>
      </c>
      <c r="E81" t="s">
        <v>93</v>
      </c>
      <c r="F81" s="1">
        <v>0.64375000000000004</v>
      </c>
      <c r="G81" s="1">
        <v>0.73124999999999996</v>
      </c>
      <c r="H81">
        <v>126</v>
      </c>
      <c r="I81" t="s">
        <v>52</v>
      </c>
      <c r="J81">
        <v>509</v>
      </c>
      <c r="K81">
        <v>474</v>
      </c>
      <c r="L81">
        <v>40</v>
      </c>
      <c r="M81">
        <v>35</v>
      </c>
      <c r="N81">
        <v>106</v>
      </c>
      <c r="O81">
        <v>43</v>
      </c>
      <c r="P81">
        <v>1406</v>
      </c>
      <c r="Q81">
        <v>180</v>
      </c>
      <c r="R81" t="s">
        <v>32</v>
      </c>
      <c r="S81">
        <v>2</v>
      </c>
      <c r="T81" t="s">
        <v>33</v>
      </c>
      <c r="U81" t="s">
        <v>41</v>
      </c>
      <c r="V81">
        <v>275</v>
      </c>
      <c r="W81">
        <v>0</v>
      </c>
      <c r="X81">
        <v>7.8585461689587424E-2</v>
      </c>
      <c r="Y81">
        <v>0.93123772102161095</v>
      </c>
      <c r="Z81" t="s">
        <v>35</v>
      </c>
    </row>
    <row r="82" spans="1:26" x14ac:dyDescent="0.45">
      <c r="A82" t="s">
        <v>164</v>
      </c>
      <c r="B82" t="s">
        <v>95</v>
      </c>
      <c r="C82" t="s">
        <v>89</v>
      </c>
      <c r="D82" t="s">
        <v>73</v>
      </c>
      <c r="E82" t="s">
        <v>46</v>
      </c>
      <c r="F82" s="1">
        <v>0.38680555555555557</v>
      </c>
      <c r="G82" s="1">
        <v>0.49027777777777776</v>
      </c>
      <c r="H82">
        <v>149</v>
      </c>
      <c r="I82" t="s">
        <v>80</v>
      </c>
      <c r="J82">
        <v>121</v>
      </c>
      <c r="K82">
        <v>105</v>
      </c>
      <c r="L82">
        <v>14</v>
      </c>
      <c r="M82">
        <v>11</v>
      </c>
      <c r="N82">
        <v>101</v>
      </c>
      <c r="O82">
        <v>70</v>
      </c>
      <c r="P82">
        <v>2405</v>
      </c>
      <c r="Q82">
        <v>150</v>
      </c>
      <c r="R82" t="s">
        <v>32</v>
      </c>
      <c r="S82">
        <v>8</v>
      </c>
      <c r="T82" t="s">
        <v>33</v>
      </c>
      <c r="U82" t="s">
        <v>41</v>
      </c>
      <c r="V82">
        <v>320</v>
      </c>
      <c r="W82">
        <v>0</v>
      </c>
      <c r="X82">
        <v>0.11570247933884298</v>
      </c>
      <c r="Y82">
        <v>0.86776859504132231</v>
      </c>
      <c r="Z82" t="s">
        <v>35</v>
      </c>
    </row>
    <row r="83" spans="1:26" x14ac:dyDescent="0.45">
      <c r="A83" t="s">
        <v>165</v>
      </c>
      <c r="B83" t="s">
        <v>43</v>
      </c>
      <c r="C83" t="s">
        <v>44</v>
      </c>
      <c r="D83" t="s">
        <v>90</v>
      </c>
      <c r="E83" t="s">
        <v>51</v>
      </c>
      <c r="F83" s="1">
        <v>0.35138888888888886</v>
      </c>
      <c r="G83" s="1">
        <v>0.41805555555555557</v>
      </c>
      <c r="H83">
        <v>96</v>
      </c>
      <c r="I83" t="s">
        <v>78</v>
      </c>
      <c r="J83">
        <v>260</v>
      </c>
      <c r="K83">
        <v>221</v>
      </c>
      <c r="L83">
        <v>24</v>
      </c>
      <c r="M83">
        <v>22</v>
      </c>
      <c r="N83">
        <v>36</v>
      </c>
      <c r="O83">
        <v>28</v>
      </c>
      <c r="P83">
        <v>1012</v>
      </c>
      <c r="Q83">
        <v>180</v>
      </c>
      <c r="R83" t="s">
        <v>53</v>
      </c>
      <c r="S83">
        <v>2</v>
      </c>
      <c r="T83" t="s">
        <v>54</v>
      </c>
      <c r="U83" t="s">
        <v>48</v>
      </c>
      <c r="V83">
        <v>160</v>
      </c>
      <c r="W83">
        <v>1</v>
      </c>
      <c r="X83">
        <v>9.2307692307692313E-2</v>
      </c>
      <c r="Y83">
        <v>0.85</v>
      </c>
      <c r="Z83" t="s">
        <v>35</v>
      </c>
    </row>
    <row r="84" spans="1:26" x14ac:dyDescent="0.45">
      <c r="A84" t="s">
        <v>166</v>
      </c>
      <c r="B84" t="s">
        <v>95</v>
      </c>
      <c r="C84" t="s">
        <v>89</v>
      </c>
      <c r="D84" t="s">
        <v>45</v>
      </c>
      <c r="E84" t="s">
        <v>66</v>
      </c>
      <c r="F84" s="1">
        <v>0.64444444444444449</v>
      </c>
      <c r="G84" s="1">
        <v>0.73333333333333328</v>
      </c>
      <c r="H84">
        <v>128</v>
      </c>
      <c r="I84" t="s">
        <v>78</v>
      </c>
      <c r="J84">
        <v>124</v>
      </c>
      <c r="K84">
        <v>115</v>
      </c>
      <c r="L84">
        <v>14</v>
      </c>
      <c r="M84">
        <v>5</v>
      </c>
      <c r="N84">
        <v>99</v>
      </c>
      <c r="O84">
        <v>6</v>
      </c>
      <c r="P84">
        <v>1351</v>
      </c>
      <c r="Q84">
        <v>90</v>
      </c>
      <c r="R84" t="s">
        <v>32</v>
      </c>
      <c r="S84">
        <v>9</v>
      </c>
      <c r="T84" t="s">
        <v>33</v>
      </c>
      <c r="U84" t="s">
        <v>41</v>
      </c>
      <c r="V84">
        <v>233</v>
      </c>
      <c r="W84">
        <v>0</v>
      </c>
      <c r="X84">
        <v>0.11290322580645161</v>
      </c>
      <c r="Y84">
        <v>0.92741935483870963</v>
      </c>
      <c r="Z84" t="s">
        <v>35</v>
      </c>
    </row>
    <row r="85" spans="1:26" x14ac:dyDescent="0.45">
      <c r="A85" t="s">
        <v>167</v>
      </c>
      <c r="B85" t="s">
        <v>114</v>
      </c>
      <c r="C85" t="s">
        <v>69</v>
      </c>
      <c r="D85" t="s">
        <v>90</v>
      </c>
      <c r="E85" t="s">
        <v>46</v>
      </c>
      <c r="F85" s="1">
        <v>0.52430555555555558</v>
      </c>
      <c r="G85" s="1">
        <v>0.53402777777777777</v>
      </c>
      <c r="H85">
        <v>14</v>
      </c>
      <c r="I85" t="s">
        <v>40</v>
      </c>
      <c r="J85">
        <v>375</v>
      </c>
      <c r="K85">
        <v>340</v>
      </c>
      <c r="L85">
        <v>21</v>
      </c>
      <c r="M85">
        <v>9</v>
      </c>
      <c r="N85">
        <v>123</v>
      </c>
      <c r="O85">
        <v>29</v>
      </c>
      <c r="P85">
        <v>888</v>
      </c>
      <c r="Q85">
        <v>150</v>
      </c>
      <c r="R85" t="s">
        <v>32</v>
      </c>
      <c r="S85">
        <v>5</v>
      </c>
      <c r="T85" t="s">
        <v>33</v>
      </c>
      <c r="U85" t="s">
        <v>41</v>
      </c>
      <c r="V85">
        <v>166</v>
      </c>
      <c r="W85">
        <v>0</v>
      </c>
      <c r="X85">
        <v>5.6000000000000001E-2</v>
      </c>
      <c r="Y85">
        <v>0.90666666666666662</v>
      </c>
      <c r="Z85" t="s">
        <v>35</v>
      </c>
    </row>
    <row r="86" spans="1:26" x14ac:dyDescent="0.45">
      <c r="A86" t="s">
        <v>168</v>
      </c>
      <c r="B86" t="s">
        <v>85</v>
      </c>
      <c r="C86" t="s">
        <v>44</v>
      </c>
      <c r="D86" t="s">
        <v>45</v>
      </c>
      <c r="E86" t="s">
        <v>93</v>
      </c>
      <c r="F86" s="1">
        <v>0.61875000000000002</v>
      </c>
      <c r="G86" s="1">
        <v>0.72222222222222221</v>
      </c>
      <c r="H86">
        <v>149</v>
      </c>
      <c r="I86" t="s">
        <v>31</v>
      </c>
      <c r="J86">
        <v>312</v>
      </c>
      <c r="K86">
        <v>266</v>
      </c>
      <c r="L86">
        <v>32</v>
      </c>
      <c r="M86">
        <v>21</v>
      </c>
      <c r="N86">
        <v>84</v>
      </c>
      <c r="O86">
        <v>27</v>
      </c>
      <c r="P86">
        <v>884</v>
      </c>
      <c r="Q86">
        <v>90</v>
      </c>
      <c r="R86" t="s">
        <v>32</v>
      </c>
      <c r="S86">
        <v>4</v>
      </c>
      <c r="T86" t="s">
        <v>33</v>
      </c>
      <c r="U86" t="s">
        <v>34</v>
      </c>
      <c r="V86">
        <v>260</v>
      </c>
      <c r="W86">
        <v>0</v>
      </c>
      <c r="X86">
        <v>0.10256410256410256</v>
      </c>
      <c r="Y86">
        <v>0.85256410256410253</v>
      </c>
      <c r="Z86" t="s">
        <v>35</v>
      </c>
    </row>
    <row r="87" spans="1:26" x14ac:dyDescent="0.45">
      <c r="A87" t="s">
        <v>169</v>
      </c>
      <c r="B87" t="s">
        <v>97</v>
      </c>
      <c r="C87" t="s">
        <v>89</v>
      </c>
      <c r="D87" t="s">
        <v>63</v>
      </c>
      <c r="E87" t="s">
        <v>51</v>
      </c>
      <c r="F87" s="1">
        <v>0.46944444444444444</v>
      </c>
      <c r="G87" s="1">
        <v>0.4777777777777778</v>
      </c>
      <c r="H87">
        <v>12</v>
      </c>
      <c r="I87" t="s">
        <v>78</v>
      </c>
      <c r="J87">
        <v>357</v>
      </c>
      <c r="K87">
        <v>298</v>
      </c>
      <c r="L87">
        <v>29</v>
      </c>
      <c r="M87">
        <v>16</v>
      </c>
      <c r="N87">
        <v>7</v>
      </c>
      <c r="O87">
        <v>48</v>
      </c>
      <c r="P87">
        <v>637</v>
      </c>
      <c r="Q87">
        <v>120</v>
      </c>
      <c r="R87" t="s">
        <v>53</v>
      </c>
      <c r="S87">
        <v>0</v>
      </c>
      <c r="T87" t="s">
        <v>59</v>
      </c>
      <c r="U87" t="s">
        <v>34</v>
      </c>
      <c r="V87">
        <v>67</v>
      </c>
      <c r="W87">
        <v>1</v>
      </c>
      <c r="X87">
        <v>8.1232492997198882E-2</v>
      </c>
      <c r="Y87">
        <v>0.834733893557423</v>
      </c>
      <c r="Z87" t="s">
        <v>35</v>
      </c>
    </row>
    <row r="88" spans="1:26" x14ac:dyDescent="0.45">
      <c r="A88" t="s">
        <v>170</v>
      </c>
      <c r="B88" t="s">
        <v>102</v>
      </c>
      <c r="C88" t="s">
        <v>38</v>
      </c>
      <c r="D88" t="s">
        <v>29</v>
      </c>
      <c r="E88" t="s">
        <v>70</v>
      </c>
      <c r="F88" s="1">
        <v>0.43333333333333335</v>
      </c>
      <c r="G88" s="1">
        <v>0.47847222222222224</v>
      </c>
      <c r="H88">
        <v>65</v>
      </c>
      <c r="I88" t="s">
        <v>80</v>
      </c>
      <c r="J88">
        <v>165</v>
      </c>
      <c r="K88">
        <v>138</v>
      </c>
      <c r="L88">
        <v>6</v>
      </c>
      <c r="M88">
        <v>3</v>
      </c>
      <c r="N88">
        <v>121</v>
      </c>
      <c r="O88">
        <v>50</v>
      </c>
      <c r="P88">
        <v>1333</v>
      </c>
      <c r="Q88">
        <v>90</v>
      </c>
      <c r="R88" t="s">
        <v>32</v>
      </c>
      <c r="S88">
        <v>3</v>
      </c>
      <c r="T88" t="s">
        <v>33</v>
      </c>
      <c r="U88" t="s">
        <v>41</v>
      </c>
      <c r="V88">
        <v>236</v>
      </c>
      <c r="W88">
        <v>0</v>
      </c>
      <c r="X88">
        <v>3.6363636363636362E-2</v>
      </c>
      <c r="Y88">
        <v>0.83636363636363631</v>
      </c>
      <c r="Z88" t="s">
        <v>35</v>
      </c>
    </row>
    <row r="89" spans="1:26" x14ac:dyDescent="0.45">
      <c r="A89" t="s">
        <v>171</v>
      </c>
      <c r="B89" t="s">
        <v>43</v>
      </c>
      <c r="C89" t="s">
        <v>44</v>
      </c>
      <c r="D89" t="s">
        <v>29</v>
      </c>
      <c r="E89" t="s">
        <v>76</v>
      </c>
      <c r="F89" s="1">
        <v>0.49444444444444446</v>
      </c>
      <c r="G89" s="1">
        <v>0.51666666666666672</v>
      </c>
      <c r="H89">
        <v>32</v>
      </c>
      <c r="I89" t="s">
        <v>80</v>
      </c>
      <c r="J89">
        <v>355</v>
      </c>
      <c r="K89">
        <v>314</v>
      </c>
      <c r="L89">
        <v>42</v>
      </c>
      <c r="M89">
        <v>39</v>
      </c>
      <c r="N89">
        <v>104</v>
      </c>
      <c r="O89">
        <v>35</v>
      </c>
      <c r="P89">
        <v>820</v>
      </c>
      <c r="Q89">
        <v>120</v>
      </c>
      <c r="R89" t="s">
        <v>32</v>
      </c>
      <c r="S89">
        <v>7</v>
      </c>
      <c r="T89" t="s">
        <v>33</v>
      </c>
      <c r="U89" t="s">
        <v>41</v>
      </c>
      <c r="V89">
        <v>171</v>
      </c>
      <c r="W89">
        <v>0</v>
      </c>
      <c r="X89">
        <v>0.11830985915492957</v>
      </c>
      <c r="Y89">
        <v>0.88450704225352117</v>
      </c>
      <c r="Z89" t="s">
        <v>35</v>
      </c>
    </row>
    <row r="90" spans="1:26" x14ac:dyDescent="0.45">
      <c r="A90" t="s">
        <v>172</v>
      </c>
      <c r="B90" t="s">
        <v>97</v>
      </c>
      <c r="C90" t="s">
        <v>89</v>
      </c>
      <c r="D90" t="s">
        <v>45</v>
      </c>
      <c r="E90" t="s">
        <v>76</v>
      </c>
      <c r="F90" s="1">
        <v>0.61805555555555558</v>
      </c>
      <c r="G90" s="1">
        <v>0.6958333333333333</v>
      </c>
      <c r="H90">
        <v>112</v>
      </c>
      <c r="I90" t="s">
        <v>80</v>
      </c>
      <c r="J90">
        <v>162</v>
      </c>
      <c r="K90">
        <v>141</v>
      </c>
      <c r="L90">
        <v>2</v>
      </c>
      <c r="M90">
        <v>1</v>
      </c>
      <c r="N90">
        <v>37</v>
      </c>
      <c r="O90">
        <v>76</v>
      </c>
      <c r="P90">
        <v>1631</v>
      </c>
      <c r="Q90">
        <v>240</v>
      </c>
      <c r="R90" t="s">
        <v>53</v>
      </c>
      <c r="S90">
        <v>5</v>
      </c>
      <c r="T90" t="s">
        <v>54</v>
      </c>
      <c r="U90" t="s">
        <v>104</v>
      </c>
      <c r="V90">
        <v>225</v>
      </c>
      <c r="W90">
        <v>1</v>
      </c>
      <c r="X90">
        <v>1.2345679012345678E-2</v>
      </c>
      <c r="Y90">
        <v>0.87037037037037035</v>
      </c>
      <c r="Z90" t="s">
        <v>35</v>
      </c>
    </row>
    <row r="91" spans="1:26" x14ac:dyDescent="0.45">
      <c r="A91" t="s">
        <v>173</v>
      </c>
      <c r="B91" t="s">
        <v>95</v>
      </c>
      <c r="C91" t="s">
        <v>89</v>
      </c>
      <c r="D91" t="s">
        <v>73</v>
      </c>
      <c r="E91" t="s">
        <v>46</v>
      </c>
      <c r="F91" s="1">
        <v>0.43819444444444444</v>
      </c>
      <c r="G91" s="1">
        <v>0.48402777777777778</v>
      </c>
      <c r="H91">
        <v>66</v>
      </c>
      <c r="I91" t="s">
        <v>80</v>
      </c>
      <c r="J91">
        <v>446</v>
      </c>
      <c r="K91">
        <v>444</v>
      </c>
      <c r="L91">
        <v>16</v>
      </c>
      <c r="M91">
        <v>10</v>
      </c>
      <c r="N91">
        <v>92</v>
      </c>
      <c r="O91">
        <v>13</v>
      </c>
      <c r="P91">
        <v>1324</v>
      </c>
      <c r="Q91">
        <v>210</v>
      </c>
      <c r="R91" t="s">
        <v>53</v>
      </c>
      <c r="S91">
        <v>6</v>
      </c>
      <c r="T91" t="s">
        <v>54</v>
      </c>
      <c r="U91" t="s">
        <v>41</v>
      </c>
      <c r="V91">
        <v>171</v>
      </c>
      <c r="W91">
        <v>1</v>
      </c>
      <c r="X91">
        <v>3.5874439461883408E-2</v>
      </c>
      <c r="Y91">
        <v>0.99551569506726456</v>
      </c>
      <c r="Z91" t="s">
        <v>35</v>
      </c>
    </row>
    <row r="92" spans="1:26" x14ac:dyDescent="0.45">
      <c r="A92" t="s">
        <v>174</v>
      </c>
      <c r="B92" t="s">
        <v>56</v>
      </c>
      <c r="C92" t="s">
        <v>28</v>
      </c>
      <c r="D92" t="s">
        <v>73</v>
      </c>
      <c r="E92" t="s">
        <v>70</v>
      </c>
      <c r="F92" s="1">
        <v>0.47708333333333336</v>
      </c>
      <c r="G92" s="1">
        <v>0.48333333333333334</v>
      </c>
      <c r="H92">
        <v>9</v>
      </c>
      <c r="I92" t="s">
        <v>78</v>
      </c>
      <c r="J92">
        <v>424</v>
      </c>
      <c r="K92">
        <v>411</v>
      </c>
      <c r="L92">
        <v>43</v>
      </c>
      <c r="M92">
        <v>40</v>
      </c>
      <c r="N92">
        <v>58</v>
      </c>
      <c r="O92">
        <v>78</v>
      </c>
      <c r="P92">
        <v>762</v>
      </c>
      <c r="Q92">
        <v>120</v>
      </c>
      <c r="R92" t="s">
        <v>32</v>
      </c>
      <c r="S92">
        <v>1</v>
      </c>
      <c r="T92" t="s">
        <v>33</v>
      </c>
      <c r="U92" t="s">
        <v>48</v>
      </c>
      <c r="V92">
        <v>145</v>
      </c>
      <c r="W92">
        <v>0</v>
      </c>
      <c r="X92">
        <v>0.10141509433962265</v>
      </c>
      <c r="Y92">
        <v>0.96933962264150941</v>
      </c>
      <c r="Z92" t="s">
        <v>35</v>
      </c>
    </row>
    <row r="93" spans="1:26" x14ac:dyDescent="0.45">
      <c r="A93" t="s">
        <v>175</v>
      </c>
      <c r="B93" t="s">
        <v>61</v>
      </c>
      <c r="C93" t="s">
        <v>62</v>
      </c>
      <c r="D93" t="s">
        <v>39</v>
      </c>
      <c r="E93" t="s">
        <v>70</v>
      </c>
      <c r="F93" s="1">
        <v>0.48402777777777778</v>
      </c>
      <c r="G93" s="1">
        <v>0.50347222222222221</v>
      </c>
      <c r="H93">
        <v>28</v>
      </c>
      <c r="I93" t="s">
        <v>31</v>
      </c>
      <c r="J93">
        <v>456</v>
      </c>
      <c r="K93">
        <v>433</v>
      </c>
      <c r="L93">
        <v>23</v>
      </c>
      <c r="M93">
        <v>8</v>
      </c>
      <c r="N93">
        <v>97</v>
      </c>
      <c r="O93">
        <v>24</v>
      </c>
      <c r="P93">
        <v>406</v>
      </c>
      <c r="Q93">
        <v>240</v>
      </c>
      <c r="R93" t="s">
        <v>53</v>
      </c>
      <c r="S93">
        <v>1</v>
      </c>
      <c r="T93" t="s">
        <v>59</v>
      </c>
      <c r="U93" t="s">
        <v>41</v>
      </c>
      <c r="V93">
        <v>149</v>
      </c>
      <c r="W93">
        <v>1</v>
      </c>
      <c r="X93">
        <v>5.0438596491228067E-2</v>
      </c>
      <c r="Y93">
        <v>0.94956140350877194</v>
      </c>
      <c r="Z93" t="s">
        <v>35</v>
      </c>
    </row>
    <row r="94" spans="1:26" x14ac:dyDescent="0.45">
      <c r="A94" t="s">
        <v>176</v>
      </c>
      <c r="B94" t="s">
        <v>102</v>
      </c>
      <c r="C94" t="s">
        <v>38</v>
      </c>
      <c r="D94" t="s">
        <v>57</v>
      </c>
      <c r="E94" t="s">
        <v>66</v>
      </c>
      <c r="F94" s="1">
        <v>0.60069444444444442</v>
      </c>
      <c r="G94" s="1">
        <v>0.69861111111111107</v>
      </c>
      <c r="H94">
        <v>141</v>
      </c>
      <c r="I94" t="s">
        <v>80</v>
      </c>
      <c r="J94">
        <v>356</v>
      </c>
      <c r="K94">
        <v>301</v>
      </c>
      <c r="L94">
        <v>41</v>
      </c>
      <c r="M94">
        <v>24</v>
      </c>
      <c r="N94">
        <v>118</v>
      </c>
      <c r="O94">
        <v>60</v>
      </c>
      <c r="P94">
        <v>2113</v>
      </c>
      <c r="Q94">
        <v>210</v>
      </c>
      <c r="R94" t="s">
        <v>32</v>
      </c>
      <c r="S94">
        <v>6</v>
      </c>
      <c r="T94" t="s">
        <v>33</v>
      </c>
      <c r="U94" t="s">
        <v>41</v>
      </c>
      <c r="V94">
        <v>319</v>
      </c>
      <c r="W94">
        <v>0</v>
      </c>
      <c r="X94">
        <v>0.1151685393258427</v>
      </c>
      <c r="Y94">
        <v>0.8455056179775281</v>
      </c>
      <c r="Z94" t="s">
        <v>35</v>
      </c>
    </row>
    <row r="95" spans="1:26" x14ac:dyDescent="0.45">
      <c r="A95" t="s">
        <v>177</v>
      </c>
      <c r="B95" t="s">
        <v>61</v>
      </c>
      <c r="C95" t="s">
        <v>62</v>
      </c>
      <c r="D95" t="s">
        <v>50</v>
      </c>
      <c r="E95" t="s">
        <v>30</v>
      </c>
      <c r="F95" s="1">
        <v>0.45694444444444443</v>
      </c>
      <c r="G95" s="1">
        <v>0.52916666666666667</v>
      </c>
      <c r="H95">
        <v>104</v>
      </c>
      <c r="I95" t="s">
        <v>31</v>
      </c>
      <c r="J95">
        <v>130</v>
      </c>
      <c r="K95">
        <v>118</v>
      </c>
      <c r="L95">
        <v>7</v>
      </c>
      <c r="M95">
        <v>2</v>
      </c>
      <c r="N95">
        <v>25</v>
      </c>
      <c r="O95">
        <v>57</v>
      </c>
      <c r="P95">
        <v>680</v>
      </c>
      <c r="Q95">
        <v>150</v>
      </c>
      <c r="R95" t="s">
        <v>32</v>
      </c>
      <c r="S95">
        <v>2</v>
      </c>
      <c r="T95" t="s">
        <v>33</v>
      </c>
      <c r="U95" t="s">
        <v>104</v>
      </c>
      <c r="V95">
        <v>186</v>
      </c>
      <c r="W95">
        <v>0</v>
      </c>
      <c r="X95">
        <v>5.3846153846153849E-2</v>
      </c>
      <c r="Y95">
        <v>0.90769230769230769</v>
      </c>
      <c r="Z95" t="s">
        <v>35</v>
      </c>
    </row>
    <row r="96" spans="1:26" x14ac:dyDescent="0.45">
      <c r="A96" t="s">
        <v>178</v>
      </c>
      <c r="B96" t="s">
        <v>88</v>
      </c>
      <c r="C96" t="s">
        <v>89</v>
      </c>
      <c r="D96" t="s">
        <v>45</v>
      </c>
      <c r="E96" t="s">
        <v>51</v>
      </c>
      <c r="F96" s="1">
        <v>0.42152777777777778</v>
      </c>
      <c r="G96" s="1">
        <v>0.5180555555555556</v>
      </c>
      <c r="H96">
        <v>139</v>
      </c>
      <c r="I96" t="s">
        <v>52</v>
      </c>
      <c r="J96">
        <v>90</v>
      </c>
      <c r="K96">
        <v>85</v>
      </c>
      <c r="L96">
        <v>7</v>
      </c>
      <c r="M96">
        <v>6</v>
      </c>
      <c r="N96">
        <v>62</v>
      </c>
      <c r="O96">
        <v>39</v>
      </c>
      <c r="P96">
        <v>1599</v>
      </c>
      <c r="Q96">
        <v>240</v>
      </c>
      <c r="R96" t="s">
        <v>32</v>
      </c>
      <c r="S96">
        <v>7</v>
      </c>
      <c r="T96" t="s">
        <v>54</v>
      </c>
      <c r="U96" t="s">
        <v>48</v>
      </c>
      <c r="V96">
        <v>240</v>
      </c>
      <c r="W96">
        <v>0</v>
      </c>
      <c r="X96">
        <v>7.7777777777777779E-2</v>
      </c>
      <c r="Y96">
        <v>0.94444444444444442</v>
      </c>
      <c r="Z96" t="s">
        <v>35</v>
      </c>
    </row>
    <row r="97" spans="1:26" x14ac:dyDescent="0.45">
      <c r="A97" t="s">
        <v>179</v>
      </c>
      <c r="B97" t="s">
        <v>92</v>
      </c>
      <c r="C97" t="s">
        <v>62</v>
      </c>
      <c r="D97" t="s">
        <v>63</v>
      </c>
      <c r="E97" t="s">
        <v>46</v>
      </c>
      <c r="F97" s="1">
        <v>0.49166666666666664</v>
      </c>
      <c r="G97" s="1">
        <v>0.58472222222222225</v>
      </c>
      <c r="H97">
        <v>134</v>
      </c>
      <c r="I97" t="s">
        <v>80</v>
      </c>
      <c r="J97">
        <v>182</v>
      </c>
      <c r="K97">
        <v>176</v>
      </c>
      <c r="L97">
        <v>8</v>
      </c>
      <c r="M97">
        <v>6</v>
      </c>
      <c r="N97">
        <v>112</v>
      </c>
      <c r="O97">
        <v>58</v>
      </c>
      <c r="P97">
        <v>1933</v>
      </c>
      <c r="Q97">
        <v>240</v>
      </c>
      <c r="R97" t="s">
        <v>32</v>
      </c>
      <c r="S97">
        <v>7</v>
      </c>
      <c r="T97" t="s">
        <v>33</v>
      </c>
      <c r="U97" t="s">
        <v>41</v>
      </c>
      <c r="V97">
        <v>304</v>
      </c>
      <c r="W97">
        <v>0</v>
      </c>
      <c r="X97">
        <v>4.3956043956043959E-2</v>
      </c>
      <c r="Y97">
        <v>0.96703296703296704</v>
      </c>
      <c r="Z97" t="s">
        <v>35</v>
      </c>
    </row>
    <row r="98" spans="1:26" x14ac:dyDescent="0.45">
      <c r="A98" t="s">
        <v>180</v>
      </c>
      <c r="B98" t="s">
        <v>61</v>
      </c>
      <c r="C98" t="s">
        <v>62</v>
      </c>
      <c r="D98" t="s">
        <v>63</v>
      </c>
      <c r="E98" t="s">
        <v>93</v>
      </c>
      <c r="F98" s="1">
        <v>0.58263888888888893</v>
      </c>
      <c r="G98" s="1">
        <v>0.61875000000000002</v>
      </c>
      <c r="H98">
        <v>52</v>
      </c>
      <c r="I98" t="s">
        <v>47</v>
      </c>
      <c r="J98">
        <v>77</v>
      </c>
      <c r="K98">
        <v>76</v>
      </c>
      <c r="L98">
        <v>5</v>
      </c>
      <c r="M98">
        <v>1</v>
      </c>
      <c r="N98">
        <v>78</v>
      </c>
      <c r="O98">
        <v>54</v>
      </c>
      <c r="P98">
        <v>961</v>
      </c>
      <c r="Q98">
        <v>180</v>
      </c>
      <c r="R98" t="s">
        <v>32</v>
      </c>
      <c r="S98">
        <v>9</v>
      </c>
      <c r="T98" t="s">
        <v>33</v>
      </c>
      <c r="U98" t="s">
        <v>64</v>
      </c>
      <c r="V98">
        <v>184</v>
      </c>
      <c r="W98">
        <v>0</v>
      </c>
      <c r="X98">
        <v>6.4935064935064929E-2</v>
      </c>
      <c r="Y98">
        <v>0.98701298701298701</v>
      </c>
      <c r="Z98" t="s">
        <v>35</v>
      </c>
    </row>
    <row r="99" spans="1:26" x14ac:dyDescent="0.45">
      <c r="A99" t="s">
        <v>181</v>
      </c>
      <c r="B99" t="s">
        <v>100</v>
      </c>
      <c r="C99" t="s">
        <v>44</v>
      </c>
      <c r="D99" t="s">
        <v>50</v>
      </c>
      <c r="E99" t="s">
        <v>51</v>
      </c>
      <c r="F99" s="1">
        <v>0.46597222222222223</v>
      </c>
      <c r="G99" s="1">
        <v>0.55208333333333337</v>
      </c>
      <c r="H99">
        <v>124</v>
      </c>
      <c r="I99" t="s">
        <v>47</v>
      </c>
      <c r="J99">
        <v>419</v>
      </c>
      <c r="K99">
        <v>344</v>
      </c>
      <c r="L99">
        <v>12</v>
      </c>
      <c r="M99">
        <v>3</v>
      </c>
      <c r="N99">
        <v>87</v>
      </c>
      <c r="O99">
        <v>30</v>
      </c>
      <c r="P99">
        <v>1256</v>
      </c>
      <c r="Q99">
        <v>150</v>
      </c>
      <c r="R99" t="s">
        <v>32</v>
      </c>
      <c r="S99">
        <v>3</v>
      </c>
      <c r="T99" t="s">
        <v>33</v>
      </c>
      <c r="U99" t="s">
        <v>41</v>
      </c>
      <c r="V99">
        <v>241</v>
      </c>
      <c r="W99">
        <v>0</v>
      </c>
      <c r="X99">
        <v>2.8639618138424822E-2</v>
      </c>
      <c r="Y99">
        <v>0.82100238663484482</v>
      </c>
      <c r="Z99" t="s">
        <v>35</v>
      </c>
    </row>
    <row r="100" spans="1:26" x14ac:dyDescent="0.45">
      <c r="A100" t="s">
        <v>182</v>
      </c>
      <c r="B100" t="s">
        <v>135</v>
      </c>
      <c r="C100" t="s">
        <v>62</v>
      </c>
      <c r="D100" t="s">
        <v>90</v>
      </c>
      <c r="E100" t="s">
        <v>70</v>
      </c>
      <c r="F100" s="1">
        <v>0.61458333333333337</v>
      </c>
      <c r="G100" s="1">
        <v>0.66041666666666665</v>
      </c>
      <c r="H100">
        <v>66</v>
      </c>
      <c r="I100" t="s">
        <v>31</v>
      </c>
      <c r="J100">
        <v>306</v>
      </c>
      <c r="K100">
        <v>255</v>
      </c>
      <c r="L100">
        <v>35</v>
      </c>
      <c r="M100">
        <v>26</v>
      </c>
      <c r="N100">
        <v>60</v>
      </c>
      <c r="O100">
        <v>42</v>
      </c>
      <c r="P100">
        <v>770</v>
      </c>
      <c r="Q100">
        <v>90</v>
      </c>
      <c r="R100" t="s">
        <v>32</v>
      </c>
      <c r="S100">
        <v>6</v>
      </c>
      <c r="T100" t="s">
        <v>33</v>
      </c>
      <c r="U100" t="s">
        <v>48</v>
      </c>
      <c r="V100">
        <v>168</v>
      </c>
      <c r="W100">
        <v>0</v>
      </c>
      <c r="X100">
        <v>0.11437908496732026</v>
      </c>
      <c r="Y100">
        <v>0.83333333333333337</v>
      </c>
      <c r="Z100" t="s">
        <v>35</v>
      </c>
    </row>
    <row r="101" spans="1:26" x14ac:dyDescent="0.45">
      <c r="A101" t="s">
        <v>183</v>
      </c>
      <c r="B101" t="s">
        <v>100</v>
      </c>
      <c r="C101" t="s">
        <v>44</v>
      </c>
      <c r="D101" t="s">
        <v>73</v>
      </c>
      <c r="E101" t="s">
        <v>58</v>
      </c>
      <c r="F101" s="1">
        <v>0.41736111111111113</v>
      </c>
      <c r="G101" s="1">
        <v>0.43472222222222223</v>
      </c>
      <c r="H101">
        <v>25</v>
      </c>
      <c r="I101" t="s">
        <v>80</v>
      </c>
      <c r="J101">
        <v>307</v>
      </c>
      <c r="K101">
        <v>284</v>
      </c>
      <c r="L101">
        <v>2</v>
      </c>
      <c r="M101">
        <v>0</v>
      </c>
      <c r="N101">
        <v>8</v>
      </c>
      <c r="O101">
        <v>74</v>
      </c>
      <c r="P101">
        <v>754</v>
      </c>
      <c r="Q101">
        <v>150</v>
      </c>
      <c r="R101" t="s">
        <v>53</v>
      </c>
      <c r="S101">
        <v>0</v>
      </c>
      <c r="T101" t="s">
        <v>59</v>
      </c>
      <c r="U101" t="s">
        <v>104</v>
      </c>
      <c r="V101">
        <v>107</v>
      </c>
      <c r="W101">
        <v>1</v>
      </c>
      <c r="X101">
        <v>6.5146579804560263E-3</v>
      </c>
      <c r="Y101">
        <v>0.92508143322475567</v>
      </c>
      <c r="Z101" t="s">
        <v>35</v>
      </c>
    </row>
    <row r="102" spans="1:26" x14ac:dyDescent="0.45">
      <c r="A102" t="s">
        <v>184</v>
      </c>
      <c r="B102" t="s">
        <v>97</v>
      </c>
      <c r="C102" t="s">
        <v>89</v>
      </c>
      <c r="D102" t="s">
        <v>39</v>
      </c>
      <c r="E102" t="s">
        <v>30</v>
      </c>
      <c r="F102" s="1">
        <v>0.48888888888888887</v>
      </c>
      <c r="G102" s="1">
        <v>0.53541666666666665</v>
      </c>
      <c r="H102">
        <v>67</v>
      </c>
      <c r="I102" t="s">
        <v>78</v>
      </c>
      <c r="J102">
        <v>430</v>
      </c>
      <c r="K102">
        <v>404</v>
      </c>
      <c r="L102">
        <v>22</v>
      </c>
      <c r="M102">
        <v>10</v>
      </c>
      <c r="N102">
        <v>66</v>
      </c>
      <c r="O102">
        <v>13</v>
      </c>
      <c r="P102">
        <v>868</v>
      </c>
      <c r="Q102">
        <v>180</v>
      </c>
      <c r="R102" t="s">
        <v>53</v>
      </c>
      <c r="S102">
        <v>7</v>
      </c>
      <c r="T102" t="s">
        <v>54</v>
      </c>
      <c r="U102" t="s">
        <v>64</v>
      </c>
      <c r="V102">
        <v>146</v>
      </c>
      <c r="W102">
        <v>1</v>
      </c>
      <c r="X102">
        <v>5.1162790697674418E-2</v>
      </c>
      <c r="Y102">
        <v>0.93953488372093019</v>
      </c>
      <c r="Z102" t="s">
        <v>35</v>
      </c>
    </row>
    <row r="103" spans="1:26" x14ac:dyDescent="0.45">
      <c r="A103" t="s">
        <v>185</v>
      </c>
      <c r="B103" t="s">
        <v>92</v>
      </c>
      <c r="C103" t="s">
        <v>62</v>
      </c>
      <c r="D103" t="s">
        <v>45</v>
      </c>
      <c r="E103" t="s">
        <v>58</v>
      </c>
      <c r="F103" s="1">
        <v>0.625</v>
      </c>
      <c r="G103" s="1">
        <v>0.70138888888888884</v>
      </c>
      <c r="H103">
        <v>110</v>
      </c>
      <c r="I103" t="s">
        <v>31</v>
      </c>
      <c r="J103">
        <v>174</v>
      </c>
      <c r="K103">
        <v>160</v>
      </c>
      <c r="L103">
        <v>4</v>
      </c>
      <c r="M103">
        <v>1</v>
      </c>
      <c r="N103">
        <v>37</v>
      </c>
      <c r="O103">
        <v>10</v>
      </c>
      <c r="P103">
        <v>690</v>
      </c>
      <c r="Q103">
        <v>120</v>
      </c>
      <c r="R103" t="s">
        <v>32</v>
      </c>
      <c r="S103">
        <v>8</v>
      </c>
      <c r="T103" t="s">
        <v>33</v>
      </c>
      <c r="U103" t="s">
        <v>64</v>
      </c>
      <c r="V103">
        <v>157</v>
      </c>
      <c r="W103">
        <v>0</v>
      </c>
      <c r="X103">
        <v>2.2988505747126436E-2</v>
      </c>
      <c r="Y103">
        <v>0.91954022988505746</v>
      </c>
      <c r="Z103" t="s">
        <v>35</v>
      </c>
    </row>
    <row r="104" spans="1:26" x14ac:dyDescent="0.45">
      <c r="A104" t="s">
        <v>186</v>
      </c>
      <c r="B104" t="s">
        <v>56</v>
      </c>
      <c r="C104" t="s">
        <v>28</v>
      </c>
      <c r="D104" t="s">
        <v>57</v>
      </c>
      <c r="E104" t="s">
        <v>70</v>
      </c>
      <c r="F104" s="1">
        <v>0.47569444444444442</v>
      </c>
      <c r="G104" s="1">
        <v>0.49513888888888891</v>
      </c>
      <c r="H104">
        <v>28</v>
      </c>
      <c r="I104" t="s">
        <v>40</v>
      </c>
      <c r="J104">
        <v>484</v>
      </c>
      <c r="K104">
        <v>439</v>
      </c>
      <c r="L104">
        <v>1</v>
      </c>
      <c r="M104">
        <v>0</v>
      </c>
      <c r="N104">
        <v>72</v>
      </c>
      <c r="O104">
        <v>48</v>
      </c>
      <c r="P104">
        <v>931</v>
      </c>
      <c r="Q104">
        <v>180</v>
      </c>
      <c r="R104" t="s">
        <v>53</v>
      </c>
      <c r="S104">
        <v>3</v>
      </c>
      <c r="T104" t="s">
        <v>54</v>
      </c>
      <c r="U104" t="s">
        <v>64</v>
      </c>
      <c r="V104">
        <v>148</v>
      </c>
      <c r="W104">
        <v>1</v>
      </c>
      <c r="X104">
        <v>2.0661157024793389E-3</v>
      </c>
      <c r="Y104">
        <v>0.90702479338842978</v>
      </c>
      <c r="Z104" t="s">
        <v>35</v>
      </c>
    </row>
    <row r="105" spans="1:26" x14ac:dyDescent="0.45">
      <c r="A105" t="s">
        <v>187</v>
      </c>
      <c r="B105" t="s">
        <v>124</v>
      </c>
      <c r="C105" t="s">
        <v>38</v>
      </c>
      <c r="D105" t="s">
        <v>57</v>
      </c>
      <c r="E105" t="s">
        <v>51</v>
      </c>
      <c r="F105" s="1">
        <v>0.37152777777777779</v>
      </c>
      <c r="G105" s="1">
        <v>0.47361111111111109</v>
      </c>
      <c r="H105">
        <v>147</v>
      </c>
      <c r="I105" t="s">
        <v>47</v>
      </c>
      <c r="J105">
        <v>435</v>
      </c>
      <c r="K105">
        <v>375</v>
      </c>
      <c r="L105">
        <v>23</v>
      </c>
      <c r="M105">
        <v>9</v>
      </c>
      <c r="N105">
        <v>118</v>
      </c>
      <c r="O105">
        <v>30</v>
      </c>
      <c r="P105">
        <v>1308</v>
      </c>
      <c r="Q105">
        <v>120</v>
      </c>
      <c r="R105" t="s">
        <v>32</v>
      </c>
      <c r="S105">
        <v>4</v>
      </c>
      <c r="T105" t="s">
        <v>33</v>
      </c>
      <c r="U105" t="s">
        <v>41</v>
      </c>
      <c r="V105">
        <v>295</v>
      </c>
      <c r="W105">
        <v>0</v>
      </c>
      <c r="X105">
        <v>5.2873563218390804E-2</v>
      </c>
      <c r="Y105">
        <v>0.86206896551724133</v>
      </c>
      <c r="Z105" t="s">
        <v>35</v>
      </c>
    </row>
    <row r="106" spans="1:26" x14ac:dyDescent="0.45">
      <c r="A106" t="s">
        <v>188</v>
      </c>
      <c r="B106" t="s">
        <v>135</v>
      </c>
      <c r="C106" t="s">
        <v>62</v>
      </c>
      <c r="D106" t="s">
        <v>73</v>
      </c>
      <c r="E106" t="s">
        <v>66</v>
      </c>
      <c r="F106" s="1">
        <v>0.44791666666666669</v>
      </c>
      <c r="G106" s="1">
        <v>0.52638888888888891</v>
      </c>
      <c r="H106">
        <v>113</v>
      </c>
      <c r="I106" t="s">
        <v>47</v>
      </c>
      <c r="J106">
        <v>312</v>
      </c>
      <c r="K106">
        <v>300</v>
      </c>
      <c r="L106">
        <v>23</v>
      </c>
      <c r="M106">
        <v>20</v>
      </c>
      <c r="N106">
        <v>107</v>
      </c>
      <c r="O106">
        <v>69</v>
      </c>
      <c r="P106">
        <v>1396</v>
      </c>
      <c r="Q106">
        <v>180</v>
      </c>
      <c r="R106" t="s">
        <v>32</v>
      </c>
      <c r="S106">
        <v>7</v>
      </c>
      <c r="T106" t="s">
        <v>33</v>
      </c>
      <c r="U106" t="s">
        <v>41</v>
      </c>
      <c r="V106">
        <v>289</v>
      </c>
      <c r="W106">
        <v>0</v>
      </c>
      <c r="X106">
        <v>7.371794871794872E-2</v>
      </c>
      <c r="Y106">
        <v>0.96153846153846156</v>
      </c>
      <c r="Z106" t="s">
        <v>35</v>
      </c>
    </row>
    <row r="107" spans="1:26" x14ac:dyDescent="0.45">
      <c r="A107" t="s">
        <v>189</v>
      </c>
      <c r="B107" t="s">
        <v>85</v>
      </c>
      <c r="C107" t="s">
        <v>44</v>
      </c>
      <c r="D107" t="s">
        <v>39</v>
      </c>
      <c r="E107" t="s">
        <v>51</v>
      </c>
      <c r="F107" s="1">
        <v>0.51249999999999996</v>
      </c>
      <c r="G107" s="1">
        <v>0.55902777777777779</v>
      </c>
      <c r="H107">
        <v>67</v>
      </c>
      <c r="I107" t="s">
        <v>47</v>
      </c>
      <c r="J107">
        <v>290</v>
      </c>
      <c r="K107">
        <v>281</v>
      </c>
      <c r="L107">
        <v>14</v>
      </c>
      <c r="M107">
        <v>4</v>
      </c>
      <c r="N107">
        <v>31</v>
      </c>
      <c r="O107">
        <v>0</v>
      </c>
      <c r="P107">
        <v>545</v>
      </c>
      <c r="Q107">
        <v>180</v>
      </c>
      <c r="R107" t="s">
        <v>53</v>
      </c>
      <c r="S107">
        <v>1</v>
      </c>
      <c r="T107" t="s">
        <v>59</v>
      </c>
      <c r="U107" t="s">
        <v>64</v>
      </c>
      <c r="V107">
        <v>98</v>
      </c>
      <c r="W107">
        <v>1</v>
      </c>
      <c r="X107">
        <v>4.8275862068965517E-2</v>
      </c>
      <c r="Y107">
        <v>0.96896551724137936</v>
      </c>
      <c r="Z107" t="s">
        <v>35</v>
      </c>
    </row>
    <row r="108" spans="1:26" x14ac:dyDescent="0.45">
      <c r="A108" t="s">
        <v>190</v>
      </c>
      <c r="B108" t="s">
        <v>27</v>
      </c>
      <c r="C108" t="s">
        <v>28</v>
      </c>
      <c r="D108" t="s">
        <v>63</v>
      </c>
      <c r="E108" t="s">
        <v>76</v>
      </c>
      <c r="F108" s="1">
        <v>0.55555555555555558</v>
      </c>
      <c r="G108" s="1">
        <v>0.63749999999999996</v>
      </c>
      <c r="H108">
        <v>118</v>
      </c>
      <c r="I108" t="s">
        <v>31</v>
      </c>
      <c r="J108">
        <v>433</v>
      </c>
      <c r="K108">
        <v>363</v>
      </c>
      <c r="L108">
        <v>22</v>
      </c>
      <c r="M108">
        <v>16</v>
      </c>
      <c r="N108">
        <v>0</v>
      </c>
      <c r="O108">
        <v>69</v>
      </c>
      <c r="P108">
        <v>847</v>
      </c>
      <c r="Q108">
        <v>150</v>
      </c>
      <c r="R108" t="s">
        <v>53</v>
      </c>
      <c r="S108">
        <v>3</v>
      </c>
      <c r="T108" t="s">
        <v>33</v>
      </c>
      <c r="U108" t="s">
        <v>48</v>
      </c>
      <c r="V108">
        <v>187</v>
      </c>
      <c r="W108">
        <v>1</v>
      </c>
      <c r="X108">
        <v>5.0808314087759814E-2</v>
      </c>
      <c r="Y108">
        <v>0.8383371824480369</v>
      </c>
      <c r="Z108" t="s">
        <v>35</v>
      </c>
    </row>
    <row r="109" spans="1:26" x14ac:dyDescent="0.45">
      <c r="A109" t="s">
        <v>191</v>
      </c>
      <c r="B109" t="s">
        <v>135</v>
      </c>
      <c r="C109" t="s">
        <v>62</v>
      </c>
      <c r="D109" t="s">
        <v>73</v>
      </c>
      <c r="E109" t="s">
        <v>46</v>
      </c>
      <c r="F109" s="1">
        <v>0.34583333333333333</v>
      </c>
      <c r="G109" s="1">
        <v>0.41805555555555557</v>
      </c>
      <c r="H109">
        <v>104</v>
      </c>
      <c r="I109" t="s">
        <v>80</v>
      </c>
      <c r="J109">
        <v>120</v>
      </c>
      <c r="K109">
        <v>106</v>
      </c>
      <c r="L109">
        <v>11</v>
      </c>
      <c r="M109">
        <v>9</v>
      </c>
      <c r="N109">
        <v>110</v>
      </c>
      <c r="O109">
        <v>45</v>
      </c>
      <c r="P109">
        <v>1873</v>
      </c>
      <c r="Q109">
        <v>210</v>
      </c>
      <c r="R109" t="s">
        <v>32</v>
      </c>
      <c r="S109">
        <v>8</v>
      </c>
      <c r="T109" t="s">
        <v>33</v>
      </c>
      <c r="U109" t="s">
        <v>41</v>
      </c>
      <c r="V109">
        <v>259</v>
      </c>
      <c r="W109">
        <v>0</v>
      </c>
      <c r="X109">
        <v>9.166666666666666E-2</v>
      </c>
      <c r="Y109">
        <v>0.8833333333333333</v>
      </c>
      <c r="Z109" t="s">
        <v>35</v>
      </c>
    </row>
    <row r="110" spans="1:26" x14ac:dyDescent="0.45">
      <c r="A110" t="s">
        <v>192</v>
      </c>
      <c r="B110" t="s">
        <v>61</v>
      </c>
      <c r="C110" t="s">
        <v>62</v>
      </c>
      <c r="D110" t="s">
        <v>39</v>
      </c>
      <c r="E110" t="s">
        <v>46</v>
      </c>
      <c r="F110" s="1">
        <v>0.38333333333333336</v>
      </c>
      <c r="G110" s="1">
        <v>0.4777777777777778</v>
      </c>
      <c r="H110">
        <v>136</v>
      </c>
      <c r="I110" t="s">
        <v>80</v>
      </c>
      <c r="J110">
        <v>476</v>
      </c>
      <c r="K110">
        <v>473</v>
      </c>
      <c r="L110">
        <v>15</v>
      </c>
      <c r="M110">
        <v>5</v>
      </c>
      <c r="N110">
        <v>43</v>
      </c>
      <c r="O110">
        <v>12</v>
      </c>
      <c r="P110">
        <v>1765</v>
      </c>
      <c r="Q110">
        <v>150</v>
      </c>
      <c r="R110" t="s">
        <v>32</v>
      </c>
      <c r="S110">
        <v>6</v>
      </c>
      <c r="T110" t="s">
        <v>33</v>
      </c>
      <c r="U110" t="s">
        <v>64</v>
      </c>
      <c r="V110">
        <v>191</v>
      </c>
      <c r="W110">
        <v>0</v>
      </c>
      <c r="X110">
        <v>3.1512605042016806E-2</v>
      </c>
      <c r="Y110">
        <v>0.99369747899159666</v>
      </c>
      <c r="Z110" t="s">
        <v>35</v>
      </c>
    </row>
    <row r="111" spans="1:26" x14ac:dyDescent="0.45">
      <c r="A111" t="s">
        <v>193</v>
      </c>
      <c r="B111" t="s">
        <v>27</v>
      </c>
      <c r="C111" t="s">
        <v>28</v>
      </c>
      <c r="D111" t="s">
        <v>57</v>
      </c>
      <c r="E111" t="s">
        <v>70</v>
      </c>
      <c r="F111" s="1">
        <v>0.57013888888888886</v>
      </c>
      <c r="G111" s="1">
        <v>0.59375</v>
      </c>
      <c r="H111">
        <v>34</v>
      </c>
      <c r="I111" t="s">
        <v>78</v>
      </c>
      <c r="J111">
        <v>369</v>
      </c>
      <c r="K111">
        <v>328</v>
      </c>
      <c r="L111">
        <v>34</v>
      </c>
      <c r="M111">
        <v>19</v>
      </c>
      <c r="N111">
        <v>96</v>
      </c>
      <c r="O111">
        <v>30</v>
      </c>
      <c r="P111">
        <v>616</v>
      </c>
      <c r="Q111">
        <v>150</v>
      </c>
      <c r="R111" t="s">
        <v>53</v>
      </c>
      <c r="S111">
        <v>2</v>
      </c>
      <c r="T111" t="s">
        <v>33</v>
      </c>
      <c r="U111" t="s">
        <v>41</v>
      </c>
      <c r="V111">
        <v>160</v>
      </c>
      <c r="W111">
        <v>1</v>
      </c>
      <c r="X111">
        <v>9.2140921409214094E-2</v>
      </c>
      <c r="Y111">
        <v>0.88888888888888884</v>
      </c>
      <c r="Z111" t="s">
        <v>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Pivots</vt:lpstr>
      <vt:lpstr>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Atishey Jain</dc:creator>
  <cp:lastModifiedBy>Atishey Jain</cp:lastModifiedBy>
  <dcterms:created xsi:type="dcterms:W3CDTF">2026-06-19T08:40:40Z</dcterms:created>
  <dcterms:modified xsi:type="dcterms:W3CDTF">2026-06-19T09:04:29Z</dcterms:modified>
</cp:coreProperties>
</file>